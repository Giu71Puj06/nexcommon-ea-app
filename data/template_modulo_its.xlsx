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omalie" sheetId="1" state="visible" r:id="rId3"/>
    <sheet name="MODULO CONSEGNA" sheetId="2" state="visible" r:id="rId4"/>
  </sheets>
  <externalReferences>
    <externalReference r:id="rId5"/>
  </externalReferences>
  <definedNames>
    <definedName function="false" hidden="false" localSheetId="0" name="_xlnm.Print_Area" vbProcedure="false">Anomalie!$A$1:$K$59</definedName>
    <definedName function="false" hidden="false" localSheetId="1" name="_xlnm.Print_Area" vbProcedure="false">'MODULO CONSEGNA'!$A$1:$Q$62</definedName>
    <definedName function="false" hidden="false" name="Elenco_Campione_x_XLS" vbProcedure="false">'[1]'!$K$2:$K$81</definedName>
    <definedName function="false" hidden="false" name="_xlfn_IFS" vbProcedure="false"/>
    <definedName function="false" hidden="false" name="_xlfn_ISFORMULA" vbProcedure="false"/>
    <definedName function="false" hidden="false" name="_xlfn__ONEDARRAY" vbProcedure="false"/>
    <definedName function="false" hidden="false" name="_xlfn__SORT" vbProcedure="false"/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<sst xmlns="http://schemas.openxmlformats.org/spreadsheetml/2006/main" count="431" uniqueCount="155">
  <si>
    <t xml:space="preserve">Identificativo Modulo Anomalie Giornaliere EA: Lab5</t>
  </si>
  <si>
    <t xml:space="preserve">Prov.</t>
  </si>
  <si>
    <t xml:space="preserve">Cliente</t>
  </si>
  <si>
    <t xml:space="preserve">N°</t>
  </si>
  <si>
    <t xml:space="preserve">Elenco delle anomalie riscontrate (inserire anche ora di arrivo e partenza qualora visionato il serbatoio)</t>
  </si>
  <si>
    <t xml:space="preserve">Serbatoio di riserva</t>
  </si>
  <si>
    <t xml:space="preserve">id</t>
  </si>
  <si>
    <t xml:space="preserve">Lab.</t>
  </si>
  <si>
    <t xml:space="preserve">Data </t>
  </si>
  <si>
    <t xml:space="preserve">N° Matricola</t>
  </si>
  <si>
    <t xml:space="preserve">Località</t>
  </si>
  <si>
    <t xml:space="preserve">COM.</t>
  </si>
  <si>
    <t xml:space="preserve">Sostituito da (N° Matr.)</t>
  </si>
  <si>
    <t xml:space="preserve">N° Lotto</t>
  </si>
  <si>
    <t xml:space="preserve">ARENZANO</t>
  </si>
  <si>
    <t xml:space="preserve">GE</t>
  </si>
  <si>
    <t xml:space="preserve">AGN</t>
  </si>
  <si>
    <t xml:space="preserve">UTENTE NON DISPONIBILE RICOVERATO IN OSPEDALE</t>
  </si>
  <si>
    <t xml:space="preserve">C</t>
  </si>
  <si>
    <t xml:space="preserve">PONTREMOLI</t>
  </si>
  <si>
    <t xml:space="preserve">SP</t>
  </si>
  <si>
    <t xml:space="preserve">UTENTE NON RINTRACCIATO</t>
  </si>
  <si>
    <t xml:space="preserve">CALIZZANO</t>
  </si>
  <si>
    <t xml:space="preserve">SV</t>
  </si>
  <si>
    <t xml:space="preserve">ENI</t>
  </si>
  <si>
    <t xml:space="preserve">SOSTITUIRE CON RISERVA</t>
  </si>
  <si>
    <t xml:space="preserve">MIOGLIA</t>
  </si>
  <si>
    <t xml:space="preserve">CARBOTRADE</t>
  </si>
  <si>
    <t xml:space="preserve">SIGNORA DISPONIBILE NON PRIMA DI LUGLIO</t>
  </si>
  <si>
    <t xml:space="preserve">ANDATI SUL POSTO SERBATOIO VUOTO - UTENTE RIFERISCE CHE BEYFIN NON VUOLE FARE SCARICO</t>
  </si>
  <si>
    <t xml:space="preserve">ANDATI SUL POSTO SERBATOIO MAI INTERRATO</t>
  </si>
  <si>
    <t xml:space="preserve">GIUSVALLA</t>
  </si>
  <si>
    <t xml:space="preserve">UTENTE NON VUOLE CHE SI VADA SUL SERBATOIO - NEANCHE BEYFIN FA ENTRARE</t>
  </si>
  <si>
    <t xml:space="preserve">PONTIVREA</t>
  </si>
  <si>
    <t xml:space="preserve">UTENTE NON DISPONIBILE</t>
  </si>
  <si>
    <t xml:space="preserve">LUMARZO</t>
  </si>
  <si>
    <t xml:space="preserve">NOVI LIGURE</t>
  </si>
  <si>
    <t xml:space="preserve">AL</t>
  </si>
  <si>
    <t xml:space="preserve">CASANOVA LERRONE</t>
  </si>
  <si>
    <t xml:space="preserve">R</t>
  </si>
  <si>
    <t xml:space="preserve">RONCHI</t>
  </si>
  <si>
    <t xml:space="preserve">MS</t>
  </si>
  <si>
    <t xml:space="preserve">CISANO SUL NEVA</t>
  </si>
  <si>
    <t xml:space="preserve">SASSELLO</t>
  </si>
  <si>
    <t xml:space="preserve">SERBATOIO 5000 LT VUOTO</t>
  </si>
  <si>
    <t xml:space="preserve">SERBATOIO CESSATO VENDUTO AL CLIENTE</t>
  </si>
  <si>
    <t xml:space="preserve">SAVIGNONE</t>
  </si>
  <si>
    <t xml:space="preserve">STRADA STRETTA E RIPIDA NON CE POSTO PER FERMARSI , UNICA SOLUZ CHIUDERE LA STRADA </t>
  </si>
  <si>
    <t xml:space="preserve">PERIODO DI RIFERIMENTO:  dal 19 al 22</t>
  </si>
  <si>
    <r>
      <rPr>
        <sz val="10"/>
        <rFont val="Arial"/>
        <family val="2"/>
      </rPr>
      <t xml:space="preserve">Il sottoscritto,</t>
    </r>
    <r>
      <rPr>
        <b val="true"/>
        <sz val="10"/>
        <rFont val="Arial"/>
        <family val="2"/>
      </rPr>
      <t xml:space="preserve"> Alessandro Di Roberto</t>
    </r>
    <r>
      <rPr>
        <sz val="10"/>
        <rFont val="Arial"/>
        <family val="0"/>
      </rPr>
      <t xml:space="preserve">, matr. Ispesl n° </t>
    </r>
    <r>
      <rPr>
        <b val="true"/>
        <sz val="10"/>
        <rFont val="Arial"/>
        <family val="2"/>
      </rPr>
      <t xml:space="preserve">GPL131016EA136</t>
    </r>
    <r>
      <rPr>
        <sz val="10"/>
        <rFont val="Arial"/>
        <family val="0"/>
      </rPr>
      <t xml:space="preserve">, responsabile dell'impianto Sistema </t>
    </r>
  </si>
  <si>
    <r>
      <rPr>
        <sz val="10"/>
        <rFont val="Arial"/>
        <family val="2"/>
      </rPr>
      <t xml:space="preserve">Il sottoscritto, </t>
    </r>
    <r>
      <rPr>
        <b val="true"/>
        <sz val="10"/>
        <rFont val="Arial"/>
        <family val="2"/>
      </rPr>
      <t xml:space="preserve">Moscatiello Armando</t>
    </r>
    <r>
      <rPr>
        <sz val="10"/>
        <rFont val="Arial"/>
        <family val="2"/>
      </rPr>
      <t xml:space="preserve">, matr. Assogasliquidi n° </t>
    </r>
    <r>
      <rPr>
        <b val="true"/>
        <sz val="10"/>
        <rFont val="Arial"/>
        <family val="2"/>
      </rPr>
      <t xml:space="preserve">2359</t>
    </r>
    <r>
      <rPr>
        <sz val="10"/>
        <rFont val="Arial"/>
        <family val="2"/>
      </rPr>
      <t xml:space="preserve">, responsabile dell'imp. di pressurizzazione</t>
    </r>
  </si>
  <si>
    <t xml:space="preserve">Emissioni Acustiche (EA) del Lab. Mob. identificato con il n° 5 (targa FN 191 SX), DICHIARA, ai sensi del </t>
  </si>
  <si>
    <t xml:space="preserve">e sicurezza del Lab. Mob. identificato con il n°  5 (targa FN 191 SX), DICHIARA, ai sensi del D.P.R. 445/2000,</t>
  </si>
  <si>
    <t xml:space="preserve">D.P.R. 445/2000, che tutti i dati riportati nel presente fg. sono stati verificati e se ne dichiara la veridicità.</t>
  </si>
  <si>
    <t xml:space="preserve">che tutti i dati riportati nel presente fg. sono stati verificati e se ne dichiara la veridicità.</t>
  </si>
  <si>
    <t xml:space="preserve">IN FEDE</t>
  </si>
  <si>
    <r>
      <rPr>
        <b val="true"/>
        <sz val="10"/>
        <rFont val="Arial"/>
        <family val="2"/>
      </rPr>
      <t xml:space="preserve">Identificativo Modulo Anomalie Giornaliere EA: Lab4_</t>
    </r>
    <r>
      <rPr>
        <b val="true"/>
        <sz val="10"/>
        <color rgb="FFFF0000"/>
        <rFont val="Arial"/>
        <family val="2"/>
      </rPr>
      <t xml:space="preserve">(28/01/21)</t>
    </r>
  </si>
  <si>
    <t xml:space="preserve">PERIODO DI RIFERIMENTO:  del 28</t>
  </si>
  <si>
    <r>
      <rPr>
        <sz val="10"/>
        <rFont val="Arial"/>
        <family val="2"/>
      </rPr>
      <t xml:space="preserve">Il sottoscritto,</t>
    </r>
    <r>
      <rPr>
        <b val="true"/>
        <sz val="10"/>
        <rFont val="Arial"/>
        <family val="2"/>
      </rPr>
      <t xml:space="preserve"> Nicolanti Manuel</t>
    </r>
    <r>
      <rPr>
        <sz val="10"/>
        <rFont val="Arial"/>
        <family val="0"/>
      </rPr>
      <t xml:space="preserve">, matr. Ispesl n° </t>
    </r>
    <r>
      <rPr>
        <b val="true"/>
        <sz val="10"/>
        <rFont val="Arial"/>
        <family val="2"/>
      </rPr>
      <t xml:space="preserve">GPL251111EA116</t>
    </r>
    <r>
      <rPr>
        <sz val="10"/>
        <rFont val="Arial"/>
        <family val="0"/>
      </rPr>
      <t xml:space="preserve">, responsabile dell'impianto0  Sistema </t>
    </r>
  </si>
  <si>
    <t xml:space="preserve">Identificativo Modulo consegna Prove EA: Lab12</t>
  </si>
  <si>
    <t xml:space="preserve">Cliente (gasista)</t>
  </si>
  <si>
    <t xml:space="preserve">Inizio prova hh/mm (*)</t>
  </si>
  <si>
    <t xml:space="preserve">T</t>
  </si>
  <si>
    <t xml:space="preserve">Inizio press.  (bar)</t>
  </si>
  <si>
    <t xml:space="preserve">Fine press.  (bar)</t>
  </si>
  <si>
    <t xml:space="preserve">Y Max</t>
  </si>
  <si>
    <t xml:space="preserve">    Note</t>
  </si>
  <si>
    <t xml:space="preserve">Data     gg/mm/aaaa</t>
  </si>
  <si>
    <t xml:space="preserve">Serb. N° Matricola</t>
  </si>
  <si>
    <t xml:space="preserve">In sostituzione di (N° Matr.)</t>
  </si>
  <si>
    <t xml:space="preserve">A1</t>
  </si>
  <si>
    <t xml:space="preserve">A2</t>
  </si>
  <si>
    <t xml:space="preserve">A3</t>
  </si>
  <si>
    <t xml:space="preserve">A4</t>
  </si>
  <si>
    <t xml:space="preserve">IDONEO</t>
  </si>
  <si>
    <t xml:space="preserve">29743</t>
  </si>
  <si>
    <t xml:space="preserve">15.15</t>
  </si>
  <si>
    <t xml:space="preserve">COM. INAIL DA "REAS" A "GPOL"</t>
  </si>
  <si>
    <t xml:space="preserve">NON IDONEO  ACORR</t>
  </si>
  <si>
    <t xml:space="preserve">323440</t>
  </si>
  <si>
    <t xml:space="preserve">COGOLETO</t>
  </si>
  <si>
    <t xml:space="preserve">16.45</t>
  </si>
  <si>
    <t xml:space="preserve">NON IDONEO  A75</t>
  </si>
  <si>
    <t xml:space="preserve">4309</t>
  </si>
  <si>
    <t xml:space="preserve">8.00</t>
  </si>
  <si>
    <t xml:space="preserve">,</t>
  </si>
  <si>
    <t xml:space="preserve">NON IDONEO A85</t>
  </si>
  <si>
    <t xml:space="preserve">177</t>
  </si>
  <si>
    <t xml:space="preserve">9.30</t>
  </si>
  <si>
    <t xml:space="preserve">SOTTOTRONCHETTO VL13</t>
  </si>
  <si>
    <t xml:space="preserve">CLASSE " 0 "</t>
  </si>
  <si>
    <t xml:space="preserve">33223</t>
  </si>
  <si>
    <t xml:space="preserve">11.00</t>
  </si>
  <si>
    <t xml:space="preserve">NON IDONEO "GS"</t>
  </si>
  <si>
    <t xml:space="preserve">31035</t>
  </si>
  <si>
    <t xml:space="preserve">12.00</t>
  </si>
  <si>
    <t xml:space="preserve">NON IDONEO ESAME VISIVO</t>
  </si>
  <si>
    <t xml:space="preserve">NON IDONEO COND. A</t>
  </si>
  <si>
    <t xml:space="preserve">15553</t>
  </si>
  <si>
    <t xml:space="preserve">12.30</t>
  </si>
  <si>
    <t xml:space="preserve">NON IDONEO COND. B</t>
  </si>
  <si>
    <t xml:space="preserve">17211</t>
  </si>
  <si>
    <t xml:space="preserve">PONTINVREA</t>
  </si>
  <si>
    <t xml:space="preserve">13.30</t>
  </si>
  <si>
    <t xml:space="preserve">309468</t>
  </si>
  <si>
    <t xml:space="preserve">14.30</t>
  </si>
  <si>
    <t xml:space="preserve">32291</t>
  </si>
  <si>
    <t xml:space="preserve">15.45</t>
  </si>
  <si>
    <t xml:space="preserve">32327</t>
  </si>
  <si>
    <t xml:space="preserve">706065</t>
  </si>
  <si>
    <t xml:space="preserve">ALBENGA</t>
  </si>
  <si>
    <t xml:space="preserve">7.30</t>
  </si>
  <si>
    <t xml:space="preserve">5416</t>
  </si>
  <si>
    <t xml:space="preserve">TESTICO</t>
  </si>
  <si>
    <t xml:space="preserve">8.45</t>
  </si>
  <si>
    <t xml:space="preserve">38088</t>
  </si>
  <si>
    <t xml:space="preserve">10.15</t>
  </si>
  <si>
    <t xml:space="preserve">26324</t>
  </si>
  <si>
    <t xml:space="preserve">11.30</t>
  </si>
  <si>
    <t xml:space="preserve">318028</t>
  </si>
  <si>
    <t xml:space="preserve">5247</t>
  </si>
  <si>
    <t xml:space="preserve">VILLANOVA D'ALBENGA</t>
  </si>
  <si>
    <t xml:space="preserve">13.45</t>
  </si>
  <si>
    <t xml:space="preserve">700415</t>
  </si>
  <si>
    <t xml:space="preserve">5000 LT</t>
  </si>
  <si>
    <t xml:space="preserve">350039</t>
  </si>
  <si>
    <t xml:space="preserve">10911</t>
  </si>
  <si>
    <t xml:space="preserve">18.00</t>
  </si>
  <si>
    <t xml:space="preserve">SOTTOTRONCHETTO VL25</t>
  </si>
  <si>
    <r>
      <rPr>
        <sz val="10"/>
        <rFont val="Arial"/>
        <family val="0"/>
      </rPr>
      <t xml:space="preserve">(*) </t>
    </r>
    <r>
      <rPr>
        <b val="true"/>
        <u val="single"/>
        <sz val="10"/>
        <rFont val="Arial"/>
        <family val="2"/>
      </rPr>
      <t xml:space="preserve">Ora di Inizio</t>
    </r>
    <r>
      <rPr>
        <sz val="10"/>
        <rFont val="Arial"/>
        <family val="0"/>
      </rPr>
      <t xml:space="preserve">: spegnimento e posizionamento furgone per inizio accertamenti preliminari</t>
    </r>
  </si>
  <si>
    <t xml:space="preserve">PERIODO DI RIFERIMENTO:  dal 29/07/24 al 31/07/24</t>
  </si>
  <si>
    <r>
      <rPr>
        <sz val="10"/>
        <rFont val="Arial"/>
        <family val="0"/>
      </rPr>
      <t xml:space="preserve">(*) </t>
    </r>
    <r>
      <rPr>
        <b val="true"/>
        <u val="single"/>
        <sz val="10"/>
        <rFont val="Arial"/>
        <family val="2"/>
      </rPr>
      <t xml:space="preserve">Ora fine</t>
    </r>
    <r>
      <rPr>
        <sz val="10"/>
        <rFont val="Arial"/>
        <family val="0"/>
      </rPr>
      <t xml:space="preserve">: a conclusione di tutte le attività di ripristino in sito, pronti per altra destinazione.</t>
    </r>
  </si>
  <si>
    <r>
      <rPr>
        <sz val="10"/>
        <rFont val="Arial"/>
        <family val="2"/>
      </rPr>
      <t xml:space="preserve">Il sottoscritto, </t>
    </r>
    <r>
      <rPr>
        <b val="true"/>
        <sz val="10"/>
        <rFont val="Arial"/>
        <family val="2"/>
      </rPr>
      <t xml:space="preserve">Armando Moscatiello</t>
    </r>
    <r>
      <rPr>
        <sz val="10"/>
        <rFont val="Arial"/>
        <family val="2"/>
      </rPr>
      <t xml:space="preserve">, matr. Assogasliquidi n° </t>
    </r>
    <r>
      <rPr>
        <b val="true"/>
        <sz val="10"/>
        <rFont val="Arial"/>
        <family val="2"/>
      </rPr>
      <t xml:space="preserve">2359</t>
    </r>
    <r>
      <rPr>
        <sz val="10"/>
        <rFont val="Arial"/>
        <family val="2"/>
      </rPr>
      <t xml:space="preserve">, responsabile dell'imp. di pressurizzazione</t>
    </r>
  </si>
  <si>
    <r>
      <rPr>
        <sz val="10"/>
        <rFont val="Arial"/>
        <family val="2"/>
      </rPr>
      <t xml:space="preserve">Emissioni Acustiche (EA) del Lab. Mob. identificato con il n° </t>
    </r>
    <r>
      <rPr>
        <b val="true"/>
        <sz val="10"/>
        <rFont val="Arial"/>
        <family val="2"/>
      </rPr>
      <t xml:space="preserve">12</t>
    </r>
    <r>
      <rPr>
        <sz val="10"/>
        <rFont val="Arial"/>
        <family val="2"/>
      </rPr>
      <t xml:space="preserve"> (targa </t>
    </r>
    <r>
      <rPr>
        <b val="true"/>
        <sz val="10"/>
        <rFont val="Arial"/>
        <family val="2"/>
      </rPr>
      <t xml:space="preserve">GC 876 WK</t>
    </r>
    <r>
      <rPr>
        <sz val="10"/>
        <rFont val="Arial"/>
        <family val="2"/>
      </rPr>
      <t xml:space="preserve">), DICHIARA, ai sensi del </t>
    </r>
  </si>
  <si>
    <r>
      <rPr>
        <sz val="10"/>
        <rFont val="Arial"/>
        <family val="2"/>
      </rPr>
      <t xml:space="preserve">e sicurezza del Lab. Mob. identificato con il n°  </t>
    </r>
    <r>
      <rPr>
        <b val="true"/>
        <sz val="10"/>
        <rFont val="Arial"/>
        <family val="2"/>
      </rPr>
      <t xml:space="preserve">12</t>
    </r>
    <r>
      <rPr>
        <sz val="10"/>
        <rFont val="Arial"/>
        <family val="2"/>
      </rPr>
      <t xml:space="preserve"> (targa </t>
    </r>
    <r>
      <rPr>
        <b val="true"/>
        <sz val="10"/>
        <rFont val="Arial"/>
        <family val="2"/>
      </rPr>
      <t xml:space="preserve">GC 876 WK</t>
    </r>
    <r>
      <rPr>
        <sz val="10"/>
        <rFont val="Arial"/>
        <family val="2"/>
      </rPr>
      <t xml:space="preserve">), DICHIARA, ai sensi del D.P.R. 445/2000,</t>
    </r>
  </si>
  <si>
    <t xml:space="preserve">………..</t>
  </si>
  <si>
    <t xml:space="preserve">……………………………………</t>
  </si>
  <si>
    <t xml:space="preserve">……….</t>
  </si>
  <si>
    <t xml:space="preserve">…………………………</t>
  </si>
  <si>
    <t xml:space="preserve">9.00</t>
  </si>
  <si>
    <t xml:space="preserve">11.15</t>
  </si>
  <si>
    <t xml:space="preserve">RICHIESTA CARTELLO</t>
  </si>
  <si>
    <t xml:space="preserve">12.15</t>
  </si>
  <si>
    <t xml:space="preserve">13.15</t>
  </si>
  <si>
    <t xml:space="preserve">SUL PORTALE PRESENTE VEDENDO I LOTTI è AGN 471 VOLPIANO 2024</t>
  </si>
  <si>
    <t xml:space="preserve">14.15</t>
  </si>
  <si>
    <t xml:space="preserve">URBE</t>
  </si>
  <si>
    <t xml:space="preserve">15.30</t>
  </si>
  <si>
    <t xml:space="preserve">5000 LT - SOTTOTRONCHETTO VL25</t>
  </si>
  <si>
    <t xml:space="preserve">17.00</t>
  </si>
  <si>
    <t xml:space="preserve">PERIODO DI RIFERIMENTO:  dal 25/07/2024 al 27/07/2024</t>
  </si>
  <si>
    <t xml:space="preserve">…………………………………</t>
  </si>
  <si>
    <t xml:space="preserve">Identificativo Modulo consegna Prove EA: Lab5</t>
  </si>
  <si>
    <t xml:space="preserve">PERIODO DI RIFERIMENTO:  del 27/07/2024</t>
  </si>
  <si>
    <r>
      <rPr>
        <sz val="10"/>
        <rFont val="Arial"/>
        <family val="2"/>
      </rPr>
      <t xml:space="preserve">Il sottoscritto, </t>
    </r>
    <r>
      <rPr>
        <b val="true"/>
        <sz val="10"/>
        <rFont val="Arial"/>
        <family val="2"/>
      </rPr>
      <t xml:space="preserve">Vincenzo Del Vecchio</t>
    </r>
    <r>
      <rPr>
        <sz val="10"/>
        <rFont val="Arial"/>
        <family val="2"/>
      </rPr>
      <t xml:space="preserve"> , matr. Assogasliquidi n° </t>
    </r>
    <r>
      <rPr>
        <b val="true"/>
        <sz val="10"/>
        <rFont val="Arial"/>
        <family val="2"/>
      </rPr>
      <t xml:space="preserve">2798</t>
    </r>
    <r>
      <rPr>
        <sz val="10"/>
        <rFont val="Arial"/>
        <family val="2"/>
      </rPr>
      <t xml:space="preserve">, responsabile dell'imp. di pressurizzazione</t>
    </r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</si>
</sst>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-* #,##0.00_-;\-* #,##0.00_-;_-* \-??_-;_-@_-"/>
    <numFmt numFmtId="166" formatCode="_-* #,##0.00\ _€_-;\-* #,##0.00\ _€_-;_-* \-??\ _€_-;_-@_-"/>
    <numFmt numFmtId="167" formatCode="\ * #,##0.00\ ;\-* #,##0.00\ ;\ * \-#\ ;\ @\ "/>
    <numFmt numFmtId="168" formatCode="[$-409]m/d/yyyy"/>
    <numFmt numFmtId="169" formatCode="@"/>
    <numFmt numFmtId="170" formatCode="0.00"/>
    <numFmt numFmtId="171" formatCode="h:mm;@"/>
    <numFmt numFmtId="172" formatCode="0.000"/>
    <numFmt numFmtId="173" formatCode="0"/>
  </numFmts>
  <fonts count="16"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rgb="FF0000FF"/>
      <name val="MS Sans Serif"/>
      <family val="2"/>
    </font>
    <font>
      <sz val="10"/>
      <color rgb="FF000000"/>
      <name val="Arial"/>
      <family val="2"/>
    </font>
    <font>
      <sz val="10"/>
      <name val="MS Sans Serif"/>
      <family val="2"/>
    </font>
    <font>
      <sz val="11"/>
      <color rgb="FF000000"/>
      <name val="Calibri"/>
      <family val="2"/>
    </font>
    <font>
      <b val="true"/>
      <sz val="10"/>
      <name val="Arial"/>
      <family val="2"/>
    </font>
    <font>
      <b val="true"/>
      <sz val="9"/>
      <name val="Arial"/>
      <family val="2"/>
    </font>
    <font>
      <b val="true"/>
      <sz val="12"/>
      <name val="Arial"/>
      <family val="2"/>
    </font>
    <font>
      <sz val="10"/>
      <name val="Arial"/>
      <family val="2"/>
    </font>
    <font>
      <b val="true"/>
      <sz val="10"/>
      <color rgb="FFFF0000"/>
      <name val="Arial"/>
      <family val="2"/>
    </font>
    <font>
      <sz val="9"/>
      <name val="Arial"/>
      <family val="2"/>
    </font>
    <font>
      <sz val="8"/>
      <name val="Arial"/>
      <family val="2"/>
    </font>
    <font>
      <b val="true"/>
      <u val="single"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99CCFF"/>
        <bgColor rgb="FFCCCCFF"/>
      </patternFill>
    </fill>
    <fill>
      <patternFill patternType="solid">
        <fgColor rgb="FFFF0000"/>
        <bgColor rgb="FF99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true" diagonalDown="false">
      <left style="thin"/>
      <right style="thin"/>
      <top style="thin"/>
      <bottom style="thin"/>
      <diagonal style="thin"/>
    </border>
    <border diagonalUp="false" diagonalDown="false">
      <left style="thin"/>
      <right style="thin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14" fillId="4" borderId="1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14" fillId="4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2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0" fontId="0" fillId="2" borderId="2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4" borderId="19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8" fillId="0" borderId="17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72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6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legamento ipertestuale 2" xfId="20"/>
    <cellStyle name="Migliaia 2" xfId="21"/>
    <cellStyle name="Migliaia 2 2" xfId="22"/>
    <cellStyle name="Migliaia 3" xfId="23"/>
    <cellStyle name="Migliaia 4" xfId="24"/>
    <cellStyle name="Migliaia 5" xfId="25"/>
    <cellStyle name="Migliaia 6" xfId="26"/>
    <cellStyle name="Normale 2" xfId="27"/>
    <cellStyle name="Normale 2 2" xfId="28"/>
    <cellStyle name="Normale 3" xfId="29"/>
    <cellStyle name="Normale 3 2" xfId="30"/>
    <cellStyle name="Normale 4" xfId="31"/>
    <cellStyle name="Normale 5" xfId="32"/>
  </cellStyles>
  <dxfs count="11">
    <dxf>
      <font>
        <name val="Arial"/>
        <family val="0"/>
        <color rgb="FFFFFFFF"/>
      </font>
      <fill>
        <patternFill>
          <bgColor rgb="FFFFFFFF"/>
        </patternFill>
      </fill>
    </dxf>
    <dxf>
      <font>
        <name val="Arial"/>
        <family val="0"/>
        <color rgb="FFFFFFFF"/>
      </font>
      <fill>
        <patternFill>
          <bgColor rgb="FFFFFFFF"/>
        </patternFill>
      </fill>
    </dxf>
    <dxf>
      <font>
        <name val="Arial"/>
        <family val="0"/>
        <color rgb="FFFFFFFF"/>
      </font>
      <fill>
        <patternFill/>
      </fill>
    </dxf>
    <dxf>
      <font>
        <name val="Arial"/>
        <family val="0"/>
        <color rgb="FFFFFF00"/>
      </font>
    </dxf>
    <dxf>
      <font>
        <name val="Arial"/>
        <family val="0"/>
        <color rgb="FFFFFFFF"/>
      </font>
      <fill>
        <patternFill/>
      </fill>
    </dxf>
    <dxf>
      <font>
        <name val="Arial"/>
        <family val="0"/>
        <color rgb="FFFFFFFF"/>
      </font>
      <fill>
        <patternFill>
          <bgColor rgb="FFFFFFFF"/>
        </patternFill>
      </fill>
    </dxf>
    <dxf>
      <font>
        <name val="Arial"/>
        <family val="0"/>
        <color rgb="FFFFFFFF"/>
      </font>
    </dxf>
    <dxf>
      <font>
        <name val="Arial"/>
        <family val="0"/>
        <color rgb="FFFFFFFF"/>
      </font>
      <fill>
        <patternFill>
          <bgColor rgb="FFFFFFFF"/>
        </patternFill>
      </fill>
    </dxf>
    <dxf>
      <font>
        <name val="Arial"/>
        <family val="0"/>
        <color rgb="FFFFFFFF"/>
      </font>
    </dxf>
    <dxf>
      <font>
        <name val="Arial"/>
        <family val="0"/>
        <color rgb="FFFFFFFF"/>
      </font>
      <fill>
        <patternFill>
          <bgColor rgb="FFFFFFFF"/>
        </patternFill>
      </fill>
    </dxf>
    <dxf>
      <font>
        <name val="Arial"/>
        <family val="0"/>
        <color rgb="FFFFFFFF"/>
      </font>
      <fill>
        <patternFill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d.docs.live.net/Documents%20and%20Settings%5CUser%5CDesktop%5Cvulcagas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VULCANGAS"/>
    </sheetNames>
    <sheetDataSet>
      <sheetData sheetId="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5.41"/>
    <col collapsed="false" customWidth="true" hidden="false" outlineLevel="0" max="3" min="3" style="0" width="11.99"/>
    <col collapsed="false" customWidth="true" hidden="false" outlineLevel="0" max="4" min="4" style="0" width="10.99"/>
    <col collapsed="false" customWidth="true" hidden="false" outlineLevel="0" max="5" min="5" style="0" width="26.84"/>
    <col collapsed="false" customWidth="true" hidden="false" outlineLevel="0" max="6" min="6" style="0" width="7.99"/>
    <col collapsed="false" customWidth="true" hidden="false" outlineLevel="0" max="7" min="7" style="0" width="30.41"/>
    <col collapsed="false" customWidth="true" hidden="false" outlineLevel="0" max="8" min="8" style="0" width="11.56"/>
    <col collapsed="false" customWidth="true" hidden="false" outlineLevel="0" max="9" min="9" style="0" width="98.42"/>
    <col collapsed="false" customWidth="true" hidden="false" outlineLevel="0" max="10" min="10" style="0" width="14.56"/>
    <col collapsed="false" customWidth="true" hidden="false" outlineLevel="0" max="11" min="11" style="0" width="10.56"/>
    <col collapsed="false" customWidth="true" hidden="false" outlineLevel="0" max="14" min="13" style="0" width="10.13"/>
  </cols>
  <sheetData>
    <row r="1" customFormat="false" ht="15.75" hidden="false" customHeight="true" outlineLevel="0" collapsed="false">
      <c r="A1" s="1" t="s">
        <v>0</v>
      </c>
      <c r="B1" s="1"/>
      <c r="C1" s="1"/>
      <c r="D1" s="1"/>
      <c r="E1" s="1"/>
      <c r="F1" s="2" t="s">
        <v>1</v>
      </c>
      <c r="G1" s="2" t="s">
        <v>2</v>
      </c>
      <c r="H1" s="3" t="s">
        <v>3</v>
      </c>
      <c r="I1" s="2" t="s">
        <v>4</v>
      </c>
      <c r="J1" s="4" t="s">
        <v>5</v>
      </c>
      <c r="K1" s="4"/>
    </row>
    <row r="2" customFormat="false" ht="36" hidden="false" customHeight="true" outlineLevel="0" collapsed="false">
      <c r="A2" s="5" t="s">
        <v>6</v>
      </c>
      <c r="B2" s="5" t="s">
        <v>7</v>
      </c>
      <c r="C2" s="2" t="s">
        <v>8</v>
      </c>
      <c r="D2" s="2" t="s">
        <v>9</v>
      </c>
      <c r="E2" s="2" t="s">
        <v>10</v>
      </c>
      <c r="F2" s="2"/>
      <c r="G2" s="2"/>
      <c r="H2" s="6" t="s">
        <v>11</v>
      </c>
      <c r="I2" s="2"/>
      <c r="J2" s="7" t="s">
        <v>12</v>
      </c>
      <c r="K2" s="7" t="s">
        <v>13</v>
      </c>
    </row>
    <row r="3" customFormat="false" ht="24.6" hidden="false" customHeight="true" outlineLevel="0" collapsed="false">
      <c r="A3" s="8" t="n">
        <v>1</v>
      </c>
      <c r="B3" s="8" t="n">
        <v>12</v>
      </c>
      <c r="C3" s="9" t="n">
        <v>46176</v>
      </c>
      <c r="D3" s="8" t="n">
        <v>700281</v>
      </c>
      <c r="E3" s="10" t="s">
        <v>14</v>
      </c>
      <c r="F3" s="10" t="s">
        <v>15</v>
      </c>
      <c r="G3" s="10" t="s">
        <v>16</v>
      </c>
      <c r="H3" s="8"/>
      <c r="I3" s="11" t="s">
        <v>17</v>
      </c>
      <c r="J3" s="12" t="s">
        <v>18</v>
      </c>
      <c r="K3" s="13" t="n">
        <v>56057</v>
      </c>
      <c r="M3" s="14"/>
      <c r="N3" s="15"/>
    </row>
    <row r="4" customFormat="false" ht="24.6" hidden="false" customHeight="true" outlineLevel="0" collapsed="false">
      <c r="A4" s="8" t="n">
        <v>2</v>
      </c>
      <c r="B4" s="8" t="n">
        <v>12</v>
      </c>
      <c r="C4" s="9" t="n">
        <v>46176</v>
      </c>
      <c r="D4" s="8" t="n">
        <v>323853</v>
      </c>
      <c r="E4" s="10" t="s">
        <v>19</v>
      </c>
      <c r="F4" s="10" t="s">
        <v>20</v>
      </c>
      <c r="G4" s="10" t="s">
        <v>16</v>
      </c>
      <c r="H4" s="8"/>
      <c r="I4" s="11" t="s">
        <v>21</v>
      </c>
      <c r="J4" s="12" t="n">
        <v>323440</v>
      </c>
      <c r="K4" s="13" t="n">
        <v>46993</v>
      </c>
      <c r="M4" s="15"/>
    </row>
    <row r="5" customFormat="false" ht="24.75" hidden="false" customHeight="true" outlineLevel="0" collapsed="false">
      <c r="A5" s="8" t="n">
        <f aca="false">A4+1</f>
        <v>3</v>
      </c>
      <c r="B5" s="8" t="n">
        <v>12</v>
      </c>
      <c r="C5" s="9" t="n">
        <v>46177</v>
      </c>
      <c r="D5" s="8" t="n">
        <v>2345</v>
      </c>
      <c r="E5" s="10" t="s">
        <v>22</v>
      </c>
      <c r="F5" s="10" t="s">
        <v>23</v>
      </c>
      <c r="G5" s="10" t="s">
        <v>24</v>
      </c>
      <c r="H5" s="8"/>
      <c r="I5" s="11" t="s">
        <v>25</v>
      </c>
      <c r="J5" s="12" t="n">
        <v>4309</v>
      </c>
      <c r="K5" s="16" t="n">
        <v>19028</v>
      </c>
      <c r="M5" s="15"/>
    </row>
    <row r="6" customFormat="false" ht="24.6" hidden="false" customHeight="true" outlineLevel="0" collapsed="false">
      <c r="A6" s="8" t="n">
        <f aca="false">A5+1</f>
        <v>4</v>
      </c>
      <c r="B6" s="8" t="n">
        <v>12</v>
      </c>
      <c r="C6" s="9" t="n">
        <v>46177</v>
      </c>
      <c r="D6" s="8" t="n">
        <v>22898</v>
      </c>
      <c r="E6" s="10" t="s">
        <v>26</v>
      </c>
      <c r="F6" s="10" t="s">
        <v>23</v>
      </c>
      <c r="G6" s="10" t="s">
        <v>27</v>
      </c>
      <c r="H6" s="8"/>
      <c r="I6" s="17" t="s">
        <v>28</v>
      </c>
      <c r="J6" s="12" t="s">
        <v>18</v>
      </c>
      <c r="K6" s="13" t="n">
        <v>46236</v>
      </c>
      <c r="M6" s="15"/>
    </row>
    <row r="7" customFormat="false" ht="24.6" hidden="false" customHeight="true" outlineLevel="0" collapsed="false">
      <c r="A7" s="8" t="n">
        <f aca="false">A6+1</f>
        <v>5</v>
      </c>
      <c r="B7" s="8" t="n">
        <v>12</v>
      </c>
      <c r="C7" s="9" t="n">
        <v>46177</v>
      </c>
      <c r="D7" s="8" t="n">
        <v>715718</v>
      </c>
      <c r="E7" s="10" t="s">
        <v>26</v>
      </c>
      <c r="F7" s="10" t="s">
        <v>23</v>
      </c>
      <c r="G7" s="10" t="s">
        <v>27</v>
      </c>
      <c r="H7" s="8"/>
      <c r="I7" s="18" t="s">
        <v>29</v>
      </c>
      <c r="J7" s="19" t="s">
        <v>18</v>
      </c>
      <c r="K7" s="13" t="n">
        <v>46269</v>
      </c>
      <c r="M7" s="15"/>
    </row>
    <row r="8" customFormat="false" ht="24.6" hidden="false" customHeight="true" outlineLevel="0" collapsed="false">
      <c r="A8" s="8" t="n">
        <f aca="false">A7+1</f>
        <v>6</v>
      </c>
      <c r="B8" s="8" t="n">
        <v>12</v>
      </c>
      <c r="C8" s="9" t="n">
        <v>46177</v>
      </c>
      <c r="D8" s="8" t="n">
        <v>725919</v>
      </c>
      <c r="E8" s="10" t="s">
        <v>26</v>
      </c>
      <c r="F8" s="10" t="s">
        <v>23</v>
      </c>
      <c r="G8" s="10" t="s">
        <v>27</v>
      </c>
      <c r="H8" s="8"/>
      <c r="I8" s="20" t="s">
        <v>30</v>
      </c>
      <c r="J8" s="12" t="s">
        <v>18</v>
      </c>
      <c r="K8" s="16" t="n">
        <v>46133</v>
      </c>
      <c r="M8" s="15"/>
    </row>
    <row r="9" customFormat="false" ht="24.6" hidden="false" customHeight="true" outlineLevel="0" collapsed="false">
      <c r="A9" s="8" t="n">
        <f aca="false">A8+1</f>
        <v>7</v>
      </c>
      <c r="B9" s="8" t="n">
        <v>12</v>
      </c>
      <c r="C9" s="9" t="n">
        <v>46177</v>
      </c>
      <c r="D9" s="8" t="n">
        <v>331846</v>
      </c>
      <c r="E9" s="10" t="s">
        <v>31</v>
      </c>
      <c r="F9" s="10" t="s">
        <v>23</v>
      </c>
      <c r="G9" s="10" t="s">
        <v>27</v>
      </c>
      <c r="H9" s="8"/>
      <c r="I9" s="17" t="s">
        <v>32</v>
      </c>
      <c r="J9" s="12" t="s">
        <v>18</v>
      </c>
      <c r="K9" s="13" t="n">
        <v>46099</v>
      </c>
      <c r="M9" s="15"/>
    </row>
    <row r="10" customFormat="false" ht="24.6" hidden="false" customHeight="true" outlineLevel="0" collapsed="false">
      <c r="A10" s="8" t="n">
        <f aca="false">A9+1</f>
        <v>8</v>
      </c>
      <c r="B10" s="8" t="n">
        <v>12</v>
      </c>
      <c r="C10" s="9" t="n">
        <v>46177</v>
      </c>
      <c r="D10" s="8" t="n">
        <v>333427</v>
      </c>
      <c r="E10" s="10" t="s">
        <v>33</v>
      </c>
      <c r="F10" s="10" t="s">
        <v>23</v>
      </c>
      <c r="G10" s="10" t="s">
        <v>16</v>
      </c>
      <c r="H10" s="8"/>
      <c r="I10" s="11" t="s">
        <v>34</v>
      </c>
      <c r="J10" s="12" t="s">
        <v>18</v>
      </c>
      <c r="K10" s="16" t="n">
        <v>46993</v>
      </c>
      <c r="M10" s="15"/>
    </row>
    <row r="11" customFormat="false" ht="24.6" hidden="false" customHeight="true" outlineLevel="0" collapsed="false">
      <c r="A11" s="8" t="n">
        <f aca="false">A10+1</f>
        <v>9</v>
      </c>
      <c r="B11" s="8" t="n">
        <v>12</v>
      </c>
      <c r="C11" s="9" t="n">
        <v>46177</v>
      </c>
      <c r="D11" s="8" t="n">
        <v>35929</v>
      </c>
      <c r="E11" s="10" t="s">
        <v>35</v>
      </c>
      <c r="F11" s="10" t="s">
        <v>15</v>
      </c>
      <c r="G11" s="10" t="s">
        <v>16</v>
      </c>
      <c r="H11" s="8"/>
      <c r="I11" s="17" t="s">
        <v>21</v>
      </c>
      <c r="J11" s="12" t="n">
        <v>17211</v>
      </c>
      <c r="K11" s="16" t="n">
        <v>23410</v>
      </c>
      <c r="M11" s="15"/>
    </row>
    <row r="12" customFormat="false" ht="24.6" hidden="false" customHeight="true" outlineLevel="0" collapsed="false">
      <c r="A12" s="8" t="n">
        <f aca="false">A11+1</f>
        <v>10</v>
      </c>
      <c r="B12" s="8" t="n">
        <v>12</v>
      </c>
      <c r="C12" s="9" t="n">
        <v>46177</v>
      </c>
      <c r="D12" s="8" t="n">
        <v>34989</v>
      </c>
      <c r="E12" s="10" t="s">
        <v>36</v>
      </c>
      <c r="F12" s="10" t="s">
        <v>37</v>
      </c>
      <c r="G12" s="10" t="s">
        <v>16</v>
      </c>
      <c r="H12" s="8"/>
      <c r="I12" s="17" t="s">
        <v>21</v>
      </c>
      <c r="J12" s="12" t="n">
        <v>32327</v>
      </c>
      <c r="K12" s="16" t="n">
        <v>15398</v>
      </c>
      <c r="M12" s="15"/>
    </row>
    <row r="13" customFormat="false" ht="24.6" hidden="false" customHeight="true" outlineLevel="0" collapsed="false">
      <c r="A13" s="8" t="n">
        <f aca="false">A12+1</f>
        <v>11</v>
      </c>
      <c r="B13" s="8" t="n">
        <v>12</v>
      </c>
      <c r="C13" s="9" t="n">
        <v>46178</v>
      </c>
      <c r="D13" s="8" t="n">
        <v>314661</v>
      </c>
      <c r="E13" s="10" t="s">
        <v>38</v>
      </c>
      <c r="F13" s="10" t="s">
        <v>23</v>
      </c>
      <c r="G13" s="10" t="s">
        <v>16</v>
      </c>
      <c r="H13" s="8"/>
      <c r="I13" s="11" t="s">
        <v>34</v>
      </c>
      <c r="J13" s="12" t="s">
        <v>39</v>
      </c>
      <c r="K13" s="16" t="n">
        <v>23433</v>
      </c>
      <c r="M13" s="15"/>
    </row>
    <row r="14" customFormat="false" ht="24.6" hidden="false" customHeight="true" outlineLevel="0" collapsed="false">
      <c r="A14" s="8" t="n">
        <f aca="false">A13+1</f>
        <v>12</v>
      </c>
      <c r="B14" s="8" t="n">
        <v>12</v>
      </c>
      <c r="C14" s="9" t="n">
        <v>46178</v>
      </c>
      <c r="D14" s="8" t="n">
        <v>11451</v>
      </c>
      <c r="E14" s="10" t="s">
        <v>40</v>
      </c>
      <c r="F14" s="10" t="s">
        <v>41</v>
      </c>
      <c r="G14" s="10" t="s">
        <v>16</v>
      </c>
      <c r="H14" s="8"/>
      <c r="I14" s="11" t="s">
        <v>21</v>
      </c>
      <c r="J14" s="12" t="n">
        <v>38088</v>
      </c>
      <c r="K14" s="16" t="n">
        <v>46992</v>
      </c>
    </row>
    <row r="15" customFormat="false" ht="24.6" hidden="false" customHeight="true" outlineLevel="0" collapsed="false">
      <c r="A15" s="8" t="n">
        <f aca="false">A14+1</f>
        <v>13</v>
      </c>
      <c r="B15" s="8" t="n">
        <v>12</v>
      </c>
      <c r="C15" s="9" t="n">
        <v>46178</v>
      </c>
      <c r="D15" s="8" t="n">
        <v>38286</v>
      </c>
      <c r="E15" s="10" t="s">
        <v>42</v>
      </c>
      <c r="F15" s="10" t="s">
        <v>23</v>
      </c>
      <c r="G15" s="10" t="s">
        <v>16</v>
      </c>
      <c r="H15" s="8"/>
      <c r="I15" s="11" t="s">
        <v>21</v>
      </c>
      <c r="J15" s="12" t="n">
        <v>5247</v>
      </c>
      <c r="K15" s="16" t="n">
        <v>15398</v>
      </c>
    </row>
    <row r="16" customFormat="false" ht="24.6" hidden="false" customHeight="true" outlineLevel="0" collapsed="false">
      <c r="A16" s="8" t="n">
        <f aca="false">A15+1</f>
        <v>14</v>
      </c>
      <c r="B16" s="8" t="n">
        <v>12</v>
      </c>
      <c r="C16" s="9" t="n">
        <v>46179</v>
      </c>
      <c r="D16" s="8" t="n">
        <v>346857</v>
      </c>
      <c r="E16" s="10" t="s">
        <v>43</v>
      </c>
      <c r="F16" s="10" t="s">
        <v>23</v>
      </c>
      <c r="G16" s="10" t="s">
        <v>27</v>
      </c>
      <c r="H16" s="8"/>
      <c r="I16" s="11" t="s">
        <v>44</v>
      </c>
      <c r="J16" s="12" t="s">
        <v>18</v>
      </c>
      <c r="K16" s="16" t="n">
        <v>46111</v>
      </c>
    </row>
    <row r="17" customFormat="false" ht="24.6" hidden="false" customHeight="true" outlineLevel="0" collapsed="false">
      <c r="A17" s="8" t="n">
        <f aca="false">A16+1</f>
        <v>15</v>
      </c>
      <c r="B17" s="8" t="n">
        <v>12</v>
      </c>
      <c r="C17" s="9" t="n">
        <v>46179</v>
      </c>
      <c r="D17" s="8" t="n">
        <v>309861</v>
      </c>
      <c r="E17" s="10" t="s">
        <v>43</v>
      </c>
      <c r="F17" s="10" t="s">
        <v>23</v>
      </c>
      <c r="G17" s="10" t="s">
        <v>16</v>
      </c>
      <c r="H17" s="8"/>
      <c r="I17" s="17" t="s">
        <v>45</v>
      </c>
      <c r="J17" s="12" t="s">
        <v>39</v>
      </c>
      <c r="K17" s="16" t="n">
        <v>46993</v>
      </c>
    </row>
    <row r="18" customFormat="false" ht="24.6" hidden="false" customHeight="true" outlineLevel="0" collapsed="false">
      <c r="A18" s="8" t="n">
        <f aca="false">A17+1</f>
        <v>16</v>
      </c>
      <c r="B18" s="8" t="n">
        <v>12</v>
      </c>
      <c r="C18" s="9" t="n">
        <v>46179</v>
      </c>
      <c r="D18" s="8" t="n">
        <v>334206</v>
      </c>
      <c r="E18" s="10" t="s">
        <v>46</v>
      </c>
      <c r="F18" s="10" t="s">
        <v>15</v>
      </c>
      <c r="G18" s="10" t="s">
        <v>16</v>
      </c>
      <c r="H18" s="8"/>
      <c r="I18" s="17" t="s">
        <v>47</v>
      </c>
      <c r="J18" s="12" t="n">
        <v>311592</v>
      </c>
      <c r="K18" s="16" t="n">
        <v>27722</v>
      </c>
    </row>
    <row r="19" customFormat="false" ht="24.6" hidden="false" customHeight="true" outlineLevel="0" collapsed="false">
      <c r="A19" s="8" t="n">
        <f aca="false">A18+1</f>
        <v>17</v>
      </c>
      <c r="B19" s="8" t="n">
        <v>12</v>
      </c>
      <c r="C19" s="9"/>
      <c r="D19" s="8"/>
      <c r="E19" s="10"/>
      <c r="F19" s="10"/>
      <c r="G19" s="10"/>
      <c r="H19" s="8"/>
      <c r="I19" s="11"/>
      <c r="J19" s="12"/>
      <c r="K19" s="16"/>
    </row>
    <row r="20" customFormat="false" ht="24.6" hidden="false" customHeight="true" outlineLevel="0" collapsed="false">
      <c r="A20" s="8" t="n">
        <f aca="false">A19+1</f>
        <v>18</v>
      </c>
      <c r="B20" s="8" t="n">
        <v>12</v>
      </c>
      <c r="C20" s="9"/>
      <c r="D20" s="8"/>
      <c r="E20" s="10"/>
      <c r="F20" s="10"/>
      <c r="G20" s="10"/>
      <c r="H20" s="8"/>
      <c r="I20" s="11"/>
      <c r="J20" s="12"/>
      <c r="K20" s="16"/>
    </row>
    <row r="21" customFormat="false" ht="24.6" hidden="false" customHeight="true" outlineLevel="0" collapsed="false">
      <c r="A21" s="8" t="n">
        <f aca="false">A20+1</f>
        <v>19</v>
      </c>
      <c r="B21" s="8" t="n">
        <v>12</v>
      </c>
      <c r="C21" s="9"/>
      <c r="D21" s="8"/>
      <c r="E21" s="10"/>
      <c r="F21" s="10"/>
      <c r="G21" s="10"/>
      <c r="H21" s="8"/>
      <c r="I21" s="17"/>
      <c r="J21" s="12"/>
      <c r="K21" s="16"/>
    </row>
    <row r="22" customFormat="false" ht="24.6" hidden="false" customHeight="true" outlineLevel="0" collapsed="false">
      <c r="A22" s="8" t="n">
        <f aca="false">A21+1</f>
        <v>20</v>
      </c>
      <c r="B22" s="8" t="n">
        <v>12</v>
      </c>
      <c r="C22" s="9"/>
      <c r="D22" s="8"/>
      <c r="E22" s="8"/>
      <c r="F22" s="8"/>
      <c r="G22" s="8"/>
      <c r="H22" s="8"/>
      <c r="I22" s="21"/>
      <c r="J22" s="19"/>
      <c r="K22" s="16"/>
    </row>
    <row r="23" customFormat="false" ht="24.6" hidden="false" customHeight="true" outlineLevel="0" collapsed="false">
      <c r="A23" s="22"/>
      <c r="B23" s="23"/>
      <c r="C23" s="9"/>
      <c r="D23" s="24"/>
      <c r="E23" s="24"/>
      <c r="F23" s="24"/>
      <c r="G23" s="24"/>
      <c r="H23" s="24"/>
      <c r="I23" s="21" t="e">
        <f aca="false">#REF!</f>
        <v>#REF!</v>
      </c>
      <c r="J23" s="19" t="e">
        <f aca="false">IF(#REF!=D23,#REF!,#REF!)</f>
        <v>#REF!</v>
      </c>
      <c r="K23" s="16" t="e">
        <f aca="false">RIGHT(#REF!,5)</f>
        <v>#REF!</v>
      </c>
    </row>
    <row r="24" customFormat="false" ht="16.9" hidden="false" customHeight="true" outlineLevel="0" collapsed="false">
      <c r="A24" s="25" t="s">
        <v>48</v>
      </c>
      <c r="B24" s="26"/>
      <c r="C24" s="27"/>
      <c r="D24" s="27"/>
      <c r="E24" s="27"/>
      <c r="F24" s="27"/>
      <c r="G24" s="28"/>
      <c r="H24" s="28"/>
      <c r="I24" s="28"/>
      <c r="J24" s="29"/>
      <c r="K24" s="30"/>
    </row>
    <row r="25" customFormat="false" ht="12.75" hidden="false" customHeight="false" outlineLevel="0" collapsed="false">
      <c r="A25" s="31" t="s">
        <v>49</v>
      </c>
      <c r="B25" s="32"/>
      <c r="C25" s="33"/>
      <c r="D25" s="34"/>
      <c r="E25" s="34"/>
      <c r="F25" s="32"/>
      <c r="G25" s="35"/>
      <c r="H25" s="32"/>
      <c r="I25" s="31" t="s">
        <v>50</v>
      </c>
      <c r="J25" s="32"/>
      <c r="K25" s="36"/>
    </row>
    <row r="26" customFormat="false" ht="12.75" hidden="false" customHeight="false" outlineLevel="0" collapsed="false">
      <c r="A26" s="37" t="s">
        <v>51</v>
      </c>
      <c r="B26" s="28"/>
      <c r="C26" s="38"/>
      <c r="D26" s="38"/>
      <c r="E26" s="38"/>
      <c r="F26" s="28"/>
      <c r="G26" s="39"/>
      <c r="H26" s="28"/>
      <c r="I26" s="37" t="s">
        <v>52</v>
      </c>
      <c r="J26" s="28"/>
      <c r="K26" s="40"/>
    </row>
    <row r="27" customFormat="false" ht="12.75" hidden="false" customHeight="false" outlineLevel="0" collapsed="false">
      <c r="A27" s="41" t="s">
        <v>53</v>
      </c>
      <c r="B27" s="28"/>
      <c r="C27" s="38"/>
      <c r="D27" s="38"/>
      <c r="E27" s="38"/>
      <c r="F27" s="28"/>
      <c r="G27" s="39"/>
      <c r="H27" s="28"/>
      <c r="I27" s="37" t="s">
        <v>54</v>
      </c>
      <c r="J27" s="28"/>
      <c r="K27" s="40"/>
    </row>
    <row r="28" customFormat="false" ht="12.75" hidden="false" customHeight="false" outlineLevel="0" collapsed="false">
      <c r="A28" s="41"/>
      <c r="B28" s="28"/>
      <c r="C28" s="38"/>
      <c r="D28" s="42"/>
      <c r="E28" s="38"/>
      <c r="F28" s="43" t="s">
        <v>55</v>
      </c>
      <c r="G28" s="39"/>
      <c r="H28" s="28"/>
      <c r="I28" s="41"/>
      <c r="J28" s="43" t="s">
        <v>55</v>
      </c>
      <c r="K28" s="39"/>
    </row>
    <row r="31" customFormat="false" ht="15.75" hidden="false" customHeight="true" outlineLevel="0" collapsed="false">
      <c r="A31" s="1" t="s">
        <v>56</v>
      </c>
      <c r="B31" s="1"/>
      <c r="C31" s="1"/>
      <c r="D31" s="1"/>
      <c r="E31" s="1"/>
      <c r="F31" s="2" t="s">
        <v>1</v>
      </c>
      <c r="G31" s="2" t="s">
        <v>2</v>
      </c>
      <c r="H31" s="3" t="s">
        <v>3</v>
      </c>
      <c r="I31" s="2" t="s">
        <v>4</v>
      </c>
      <c r="J31" s="4" t="s">
        <v>5</v>
      </c>
      <c r="K31" s="4"/>
    </row>
    <row r="32" customFormat="false" ht="46.5" hidden="false" customHeight="true" outlineLevel="0" collapsed="false">
      <c r="A32" s="5" t="s">
        <v>6</v>
      </c>
      <c r="B32" s="5" t="s">
        <v>7</v>
      </c>
      <c r="C32" s="2" t="s">
        <v>8</v>
      </c>
      <c r="D32" s="2" t="s">
        <v>9</v>
      </c>
      <c r="E32" s="2" t="s">
        <v>10</v>
      </c>
      <c r="F32" s="2"/>
      <c r="G32" s="2"/>
      <c r="H32" s="6" t="s">
        <v>11</v>
      </c>
      <c r="I32" s="2"/>
      <c r="J32" s="7" t="s">
        <v>12</v>
      </c>
      <c r="K32" s="7" t="s">
        <v>13</v>
      </c>
    </row>
    <row r="33" customFormat="false" ht="24" hidden="false" customHeight="true" outlineLevel="0" collapsed="false">
      <c r="A33" s="8" t="n">
        <v>21</v>
      </c>
      <c r="B33" s="8" t="n">
        <v>5</v>
      </c>
      <c r="C33" s="9" t="e">
        <f aca="true">IF(D33&lt;&gt;0,IF(I33=0,TODAY(),C33),"")</f>
        <v>#REF!</v>
      </c>
      <c r="D33" s="8" t="e">
        <f aca="false">#REF!</f>
        <v>#REF!</v>
      </c>
      <c r="E33" s="8" t="e">
        <f aca="false">#REF!</f>
        <v>#REF!</v>
      </c>
      <c r="F33" s="8" t="e">
        <f aca="false">#REF!</f>
        <v>#REF!</v>
      </c>
      <c r="G33" s="8" t="e">
        <f aca="false">#REF!</f>
        <v>#REF!</v>
      </c>
      <c r="H33" s="8"/>
      <c r="I33" s="44" t="e">
        <f aca="false">#REF!</f>
        <v>#REF!</v>
      </c>
      <c r="J33" s="19" t="e">
        <f aca="false">IF(#REF!=D33,#REF!,#REF!)</f>
        <v>#REF!</v>
      </c>
      <c r="K33" s="16" t="e">
        <f aca="false">RIGHT(#REF!,5)</f>
        <v>#REF!</v>
      </c>
    </row>
    <row r="34" customFormat="false" ht="24" hidden="false" customHeight="true" outlineLevel="0" collapsed="false">
      <c r="A34" s="8" t="n">
        <v>22</v>
      </c>
      <c r="B34" s="8" t="n">
        <v>5</v>
      </c>
      <c r="C34" s="9" t="e">
        <f aca="true">IF(D34&lt;&gt;0,IF(I34=0,TODAY(),C34),"")</f>
        <v>#REF!</v>
      </c>
      <c r="D34" s="8" t="e">
        <f aca="false">#REF!</f>
        <v>#REF!</v>
      </c>
      <c r="E34" s="8" t="e">
        <f aca="false">#REF!</f>
        <v>#REF!</v>
      </c>
      <c r="F34" s="8" t="e">
        <f aca="false">#REF!</f>
        <v>#REF!</v>
      </c>
      <c r="G34" s="8" t="e">
        <f aca="false">#REF!</f>
        <v>#REF!</v>
      </c>
      <c r="H34" s="8"/>
      <c r="I34" s="44" t="e">
        <f aca="false">#REF!</f>
        <v>#REF!</v>
      </c>
      <c r="J34" s="19" t="e">
        <f aca="false">IF(#REF!=D34,#REF!,#REF!)</f>
        <v>#REF!</v>
      </c>
      <c r="K34" s="16" t="e">
        <f aca="false">RIGHT(#REF!,5)</f>
        <v>#REF!</v>
      </c>
    </row>
    <row r="35" customFormat="false" ht="24" hidden="false" customHeight="true" outlineLevel="0" collapsed="false">
      <c r="A35" s="8" t="n">
        <v>23</v>
      </c>
      <c r="B35" s="8" t="n">
        <v>5</v>
      </c>
      <c r="C35" s="9" t="e">
        <f aca="true">IF(D35&lt;&gt;0,IF(I35=0,TODAY(),C35),"")</f>
        <v>#REF!</v>
      </c>
      <c r="D35" s="8" t="e">
        <f aca="false">#REF!</f>
        <v>#REF!</v>
      </c>
      <c r="E35" s="8" t="e">
        <f aca="false">#REF!</f>
        <v>#REF!</v>
      </c>
      <c r="F35" s="8" t="e">
        <f aca="false">#REF!</f>
        <v>#REF!</v>
      </c>
      <c r="G35" s="8" t="e">
        <f aca="false">#REF!</f>
        <v>#REF!</v>
      </c>
      <c r="H35" s="8"/>
      <c r="I35" s="44" t="e">
        <f aca="false">#REF!</f>
        <v>#REF!</v>
      </c>
      <c r="J35" s="19" t="e">
        <f aca="false">IF(#REF!=D35,#REF!,#REF!)</f>
        <v>#REF!</v>
      </c>
      <c r="K35" s="16" t="e">
        <f aca="false">RIGHT(#REF!,5)</f>
        <v>#REF!</v>
      </c>
    </row>
    <row r="36" customFormat="false" ht="24" hidden="false" customHeight="true" outlineLevel="0" collapsed="false">
      <c r="A36" s="8" t="n">
        <v>24</v>
      </c>
      <c r="B36" s="8" t="n">
        <v>5</v>
      </c>
      <c r="C36" s="9" t="e">
        <f aca="true">IF(D36&lt;&gt;0,IF(I36=0,TODAY(),C36),"")</f>
        <v>#REF!</v>
      </c>
      <c r="D36" s="8" t="e">
        <f aca="false">#REF!</f>
        <v>#REF!</v>
      </c>
      <c r="E36" s="8" t="e">
        <f aca="false">#REF!</f>
        <v>#REF!</v>
      </c>
      <c r="F36" s="8" t="e">
        <f aca="false">#REF!</f>
        <v>#REF!</v>
      </c>
      <c r="G36" s="8" t="e">
        <f aca="false">#REF!</f>
        <v>#REF!</v>
      </c>
      <c r="H36" s="8"/>
      <c r="I36" s="44" t="e">
        <f aca="false">#REF!</f>
        <v>#REF!</v>
      </c>
      <c r="J36" s="19" t="e">
        <f aca="false">IF(#REF!=D36,#REF!,#REF!)</f>
        <v>#REF!</v>
      </c>
      <c r="K36" s="16" t="e">
        <f aca="false">RIGHT(#REF!,5)</f>
        <v>#REF!</v>
      </c>
    </row>
    <row r="37" customFormat="false" ht="24" hidden="false" customHeight="true" outlineLevel="0" collapsed="false">
      <c r="A37" s="8" t="n">
        <v>25</v>
      </c>
      <c r="B37" s="8" t="n">
        <v>5</v>
      </c>
      <c r="C37" s="9" t="e">
        <f aca="true">IF(D37&lt;&gt;0,IF(I37=0,TODAY(),C37),"")</f>
        <v>#REF!</v>
      </c>
      <c r="D37" s="8" t="e">
        <f aca="false">#REF!</f>
        <v>#REF!</v>
      </c>
      <c r="E37" s="8" t="e">
        <f aca="false">#REF!</f>
        <v>#REF!</v>
      </c>
      <c r="F37" s="8" t="e">
        <f aca="false">#REF!</f>
        <v>#REF!</v>
      </c>
      <c r="G37" s="8" t="e">
        <f aca="false">#REF!</f>
        <v>#REF!</v>
      </c>
      <c r="H37" s="8"/>
      <c r="I37" s="44" t="e">
        <f aca="false">#REF!</f>
        <v>#REF!</v>
      </c>
      <c r="J37" s="19" t="e">
        <f aca="false">IF(#REF!=D37,#REF!,#REF!)</f>
        <v>#REF!</v>
      </c>
      <c r="K37" s="16" t="e">
        <f aca="false">RIGHT(#REF!,5)</f>
        <v>#REF!</v>
      </c>
    </row>
    <row r="38" customFormat="false" ht="24" hidden="false" customHeight="true" outlineLevel="0" collapsed="false">
      <c r="A38" s="8" t="n">
        <v>26</v>
      </c>
      <c r="B38" s="8" t="n">
        <v>5</v>
      </c>
      <c r="C38" s="9" t="e">
        <f aca="true">IF(D38&lt;&gt;0,IF(I38=0,TODAY(),C38),"")</f>
        <v>#REF!</v>
      </c>
      <c r="D38" s="8" t="e">
        <f aca="false">#REF!</f>
        <v>#REF!</v>
      </c>
      <c r="E38" s="8" t="e">
        <f aca="false">#REF!</f>
        <v>#REF!</v>
      </c>
      <c r="F38" s="8" t="e">
        <f aca="false">#REF!</f>
        <v>#REF!</v>
      </c>
      <c r="G38" s="8" t="e">
        <f aca="false">#REF!</f>
        <v>#REF!</v>
      </c>
      <c r="H38" s="8"/>
      <c r="I38" s="44" t="e">
        <f aca="false">#REF!</f>
        <v>#REF!</v>
      </c>
      <c r="J38" s="19" t="e">
        <f aca="false">IF(#REF!=D38,#REF!,#REF!)</f>
        <v>#REF!</v>
      </c>
      <c r="K38" s="16" t="e">
        <f aca="false">RIGHT(#REF!,5)</f>
        <v>#REF!</v>
      </c>
    </row>
    <row r="39" customFormat="false" ht="24" hidden="false" customHeight="true" outlineLevel="0" collapsed="false">
      <c r="A39" s="8" t="n">
        <v>27</v>
      </c>
      <c r="B39" s="8" t="n">
        <v>5</v>
      </c>
      <c r="C39" s="9" t="e">
        <f aca="true">IF(D39&lt;&gt;0,IF(I39=0,TODAY(),C39),"")</f>
        <v>#REF!</v>
      </c>
      <c r="D39" s="8" t="e">
        <f aca="false">#REF!</f>
        <v>#REF!</v>
      </c>
      <c r="E39" s="8" t="e">
        <f aca="false">#REF!</f>
        <v>#REF!</v>
      </c>
      <c r="F39" s="8" t="e">
        <f aca="false">#REF!</f>
        <v>#REF!</v>
      </c>
      <c r="G39" s="8" t="e">
        <f aca="false">#REF!</f>
        <v>#REF!</v>
      </c>
      <c r="H39" s="8"/>
      <c r="I39" s="44" t="e">
        <f aca="false">#REF!</f>
        <v>#REF!</v>
      </c>
      <c r="J39" s="19" t="e">
        <f aca="false">IF(#REF!=D39,#REF!,#REF!)</f>
        <v>#REF!</v>
      </c>
      <c r="K39" s="16" t="e">
        <f aca="false">RIGHT(#REF!,5)</f>
        <v>#REF!</v>
      </c>
    </row>
    <row r="40" customFormat="false" ht="24" hidden="false" customHeight="true" outlineLevel="0" collapsed="false">
      <c r="A40" s="8" t="n">
        <v>28</v>
      </c>
      <c r="B40" s="8" t="n">
        <v>5</v>
      </c>
      <c r="C40" s="9" t="e">
        <f aca="true">IF(D40&lt;&gt;0,IF(I40=0,TODAY(),C40),"")</f>
        <v>#REF!</v>
      </c>
      <c r="D40" s="8" t="e">
        <f aca="false">#REF!</f>
        <v>#REF!</v>
      </c>
      <c r="E40" s="8" t="e">
        <f aca="false">#REF!</f>
        <v>#REF!</v>
      </c>
      <c r="F40" s="8" t="e">
        <f aca="false">#REF!</f>
        <v>#REF!</v>
      </c>
      <c r="G40" s="8" t="e">
        <f aca="false">#REF!</f>
        <v>#REF!</v>
      </c>
      <c r="H40" s="8"/>
      <c r="I40" s="44" t="e">
        <f aca="false">#REF!</f>
        <v>#REF!</v>
      </c>
      <c r="J40" s="19" t="e">
        <f aca="false">IF(#REF!=D40,#REF!,#REF!)</f>
        <v>#REF!</v>
      </c>
      <c r="K40" s="16" t="e">
        <f aca="false">RIGHT(#REF!,5)</f>
        <v>#REF!</v>
      </c>
    </row>
    <row r="41" customFormat="false" ht="24" hidden="false" customHeight="true" outlineLevel="0" collapsed="false">
      <c r="A41" s="8" t="n">
        <v>29</v>
      </c>
      <c r="B41" s="8" t="n">
        <v>5</v>
      </c>
      <c r="C41" s="9" t="e">
        <f aca="true">IF(D41&lt;&gt;0,IF(I41=0,TODAY(),C41),"")</f>
        <v>#REF!</v>
      </c>
      <c r="D41" s="8" t="e">
        <f aca="false">#REF!</f>
        <v>#REF!</v>
      </c>
      <c r="E41" s="8" t="e">
        <f aca="false">#REF!</f>
        <v>#REF!</v>
      </c>
      <c r="F41" s="8" t="e">
        <f aca="false">#REF!</f>
        <v>#REF!</v>
      </c>
      <c r="G41" s="8" t="e">
        <f aca="false">#REF!</f>
        <v>#REF!</v>
      </c>
      <c r="H41" s="8"/>
      <c r="I41" s="44" t="e">
        <f aca="false">#REF!</f>
        <v>#REF!</v>
      </c>
      <c r="J41" s="19" t="e">
        <f aca="false">IF(#REF!=D41,#REF!,#REF!)</f>
        <v>#REF!</v>
      </c>
      <c r="K41" s="16" t="e">
        <f aca="false">RIGHT(#REF!,5)</f>
        <v>#REF!</v>
      </c>
    </row>
    <row r="42" customFormat="false" ht="24" hidden="false" customHeight="true" outlineLevel="0" collapsed="false">
      <c r="A42" s="8" t="n">
        <v>30</v>
      </c>
      <c r="B42" s="8" t="n">
        <v>5</v>
      </c>
      <c r="C42" s="9" t="e">
        <f aca="true">IF(D42&lt;&gt;0,IF(I42=0,TODAY(),C42),"")</f>
        <v>#REF!</v>
      </c>
      <c r="D42" s="8" t="e">
        <f aca="false">#REF!</f>
        <v>#REF!</v>
      </c>
      <c r="E42" s="8" t="e">
        <f aca="false">#REF!</f>
        <v>#REF!</v>
      </c>
      <c r="F42" s="8" t="e">
        <f aca="false">#REF!</f>
        <v>#REF!</v>
      </c>
      <c r="G42" s="8" t="e">
        <f aca="false">#REF!</f>
        <v>#REF!</v>
      </c>
      <c r="H42" s="8"/>
      <c r="I42" s="44" t="e">
        <f aca="false">#REF!</f>
        <v>#REF!</v>
      </c>
      <c r="J42" s="19" t="e">
        <f aca="false">IF(#REF!=D42,#REF!,#REF!)</f>
        <v>#REF!</v>
      </c>
      <c r="K42" s="16" t="e">
        <f aca="false">RIGHT(#REF!,5)</f>
        <v>#REF!</v>
      </c>
    </row>
    <row r="43" customFormat="false" ht="24" hidden="false" customHeight="true" outlineLevel="0" collapsed="false">
      <c r="A43" s="8" t="n">
        <v>31</v>
      </c>
      <c r="B43" s="8" t="n">
        <v>5</v>
      </c>
      <c r="C43" s="9" t="e">
        <f aca="true">IF(D43&lt;&gt;0,IF(I43=0,TODAY(),C43),"")</f>
        <v>#REF!</v>
      </c>
      <c r="D43" s="8" t="e">
        <f aca="false">#REF!</f>
        <v>#REF!</v>
      </c>
      <c r="E43" s="8" t="e">
        <f aca="false">#REF!</f>
        <v>#REF!</v>
      </c>
      <c r="F43" s="8" t="e">
        <f aca="false">#REF!</f>
        <v>#REF!</v>
      </c>
      <c r="G43" s="8" t="e">
        <f aca="false">#REF!</f>
        <v>#REF!</v>
      </c>
      <c r="H43" s="8"/>
      <c r="I43" s="44" t="e">
        <f aca="false">#REF!</f>
        <v>#REF!</v>
      </c>
      <c r="J43" s="19" t="e">
        <f aca="false">IF(#REF!=D43,#REF!,#REF!)</f>
        <v>#REF!</v>
      </c>
      <c r="K43" s="16" t="e">
        <f aca="false">RIGHT(#REF!,5)</f>
        <v>#REF!</v>
      </c>
    </row>
    <row r="44" customFormat="false" ht="24" hidden="false" customHeight="true" outlineLevel="0" collapsed="false">
      <c r="A44" s="8" t="n">
        <v>32</v>
      </c>
      <c r="B44" s="8" t="n">
        <v>5</v>
      </c>
      <c r="C44" s="9" t="e">
        <f aca="true">IF(D44&lt;&gt;0,IF(I44=0,TODAY(),C44),"")</f>
        <v>#REF!</v>
      </c>
      <c r="D44" s="8" t="e">
        <f aca="false">#REF!</f>
        <v>#REF!</v>
      </c>
      <c r="E44" s="8" t="e">
        <f aca="false">#REF!</f>
        <v>#REF!</v>
      </c>
      <c r="F44" s="8" t="e">
        <f aca="false">#REF!</f>
        <v>#REF!</v>
      </c>
      <c r="G44" s="8" t="e">
        <f aca="false">#REF!</f>
        <v>#REF!</v>
      </c>
      <c r="H44" s="8"/>
      <c r="I44" s="44" t="e">
        <f aca="false">#REF!</f>
        <v>#REF!</v>
      </c>
      <c r="J44" s="19" t="e">
        <f aca="false">IF(#REF!=D44,#REF!,#REF!)</f>
        <v>#REF!</v>
      </c>
      <c r="K44" s="16" t="e">
        <f aca="false">RIGHT(#REF!,5)</f>
        <v>#REF!</v>
      </c>
    </row>
    <row r="45" customFormat="false" ht="24" hidden="false" customHeight="true" outlineLevel="0" collapsed="false">
      <c r="A45" s="8" t="n">
        <v>33</v>
      </c>
      <c r="B45" s="8" t="n">
        <v>5</v>
      </c>
      <c r="C45" s="9" t="e">
        <f aca="true">IF(D45&lt;&gt;0,IF(I45=0,TODAY(),C45),"")</f>
        <v>#REF!</v>
      </c>
      <c r="D45" s="8" t="e">
        <f aca="false">#REF!</f>
        <v>#REF!</v>
      </c>
      <c r="E45" s="8" t="e">
        <f aca="false">#REF!</f>
        <v>#REF!</v>
      </c>
      <c r="F45" s="8" t="e">
        <f aca="false">#REF!</f>
        <v>#REF!</v>
      </c>
      <c r="G45" s="8" t="e">
        <f aca="false">#REF!</f>
        <v>#REF!</v>
      </c>
      <c r="H45" s="8"/>
      <c r="I45" s="44" t="e">
        <f aca="false">#REF!</f>
        <v>#REF!</v>
      </c>
      <c r="J45" s="19" t="e">
        <f aca="false">IF(#REF!=D45,#REF!,#REF!)</f>
        <v>#REF!</v>
      </c>
      <c r="K45" s="16" t="e">
        <f aca="false">RIGHT(#REF!,5)</f>
        <v>#REF!</v>
      </c>
    </row>
    <row r="46" customFormat="false" ht="24" hidden="false" customHeight="true" outlineLevel="0" collapsed="false">
      <c r="A46" s="8" t="n">
        <v>34</v>
      </c>
      <c r="B46" s="8" t="n">
        <v>5</v>
      </c>
      <c r="C46" s="9" t="e">
        <f aca="true">IF(D46&lt;&gt;0,IF(I46=0,TODAY(),C46),"")</f>
        <v>#REF!</v>
      </c>
      <c r="D46" s="8" t="e">
        <f aca="false">#REF!</f>
        <v>#REF!</v>
      </c>
      <c r="E46" s="8" t="e">
        <f aca="false">#REF!</f>
        <v>#REF!</v>
      </c>
      <c r="F46" s="8" t="e">
        <f aca="false">#REF!</f>
        <v>#REF!</v>
      </c>
      <c r="G46" s="8" t="e">
        <f aca="false">#REF!</f>
        <v>#REF!</v>
      </c>
      <c r="H46" s="8"/>
      <c r="I46" s="44" t="e">
        <f aca="false">#REF!</f>
        <v>#REF!</v>
      </c>
      <c r="J46" s="19" t="e">
        <f aca="false">IF(#REF!=D46,#REF!,#REF!)</f>
        <v>#REF!</v>
      </c>
      <c r="K46" s="16" t="e">
        <f aca="false">RIGHT(#REF!,5)</f>
        <v>#REF!</v>
      </c>
    </row>
    <row r="47" customFormat="false" ht="24" hidden="false" customHeight="true" outlineLevel="0" collapsed="false">
      <c r="A47" s="8" t="n">
        <v>35</v>
      </c>
      <c r="B47" s="8" t="n">
        <v>5</v>
      </c>
      <c r="C47" s="9" t="e">
        <f aca="true">IF(D47&lt;&gt;0,IF(I47=0,TODAY(),C47),"")</f>
        <v>#REF!</v>
      </c>
      <c r="D47" s="8" t="e">
        <f aca="false">#REF!</f>
        <v>#REF!</v>
      </c>
      <c r="E47" s="8" t="e">
        <f aca="false">#REF!</f>
        <v>#REF!</v>
      </c>
      <c r="F47" s="8" t="e">
        <f aca="false">#REF!</f>
        <v>#REF!</v>
      </c>
      <c r="G47" s="8" t="e">
        <f aca="false">#REF!</f>
        <v>#REF!</v>
      </c>
      <c r="H47" s="8"/>
      <c r="I47" s="44" t="e">
        <f aca="false">#REF!</f>
        <v>#REF!</v>
      </c>
      <c r="J47" s="19" t="e">
        <f aca="false">IF(#REF!=D47,#REF!,#REF!)</f>
        <v>#REF!</v>
      </c>
      <c r="K47" s="16" t="e">
        <f aca="false">RIGHT(#REF!,5)</f>
        <v>#REF!</v>
      </c>
    </row>
    <row r="48" customFormat="false" ht="24" hidden="false" customHeight="true" outlineLevel="0" collapsed="false">
      <c r="A48" s="8" t="n">
        <v>36</v>
      </c>
      <c r="B48" s="8" t="n">
        <v>5</v>
      </c>
      <c r="C48" s="9" t="e">
        <f aca="true">IF(D48&lt;&gt;0,IF(I48=0,TODAY(),C48),"")</f>
        <v>#REF!</v>
      </c>
      <c r="D48" s="8" t="e">
        <f aca="false">#REF!</f>
        <v>#REF!</v>
      </c>
      <c r="E48" s="8" t="e">
        <f aca="false">#REF!</f>
        <v>#REF!</v>
      </c>
      <c r="F48" s="8" t="e">
        <f aca="false">#REF!</f>
        <v>#REF!</v>
      </c>
      <c r="G48" s="8" t="e">
        <f aca="false">#REF!</f>
        <v>#REF!</v>
      </c>
      <c r="H48" s="8"/>
      <c r="I48" s="44" t="e">
        <f aca="false">#REF!</f>
        <v>#REF!</v>
      </c>
      <c r="J48" s="19" t="e">
        <f aca="false">IF(#REF!=D48,#REF!,#REF!)</f>
        <v>#REF!</v>
      </c>
      <c r="K48" s="16" t="e">
        <f aca="false">RIGHT(#REF!,5)</f>
        <v>#REF!</v>
      </c>
    </row>
    <row r="49" customFormat="false" ht="24" hidden="false" customHeight="true" outlineLevel="0" collapsed="false">
      <c r="A49" s="8" t="n">
        <v>37</v>
      </c>
      <c r="B49" s="8" t="n">
        <v>5</v>
      </c>
      <c r="C49" s="9" t="e">
        <f aca="true">IF(D49&lt;&gt;0,IF(I49=0,TODAY(),C49),"")</f>
        <v>#REF!</v>
      </c>
      <c r="D49" s="8" t="e">
        <f aca="false">#REF!</f>
        <v>#REF!</v>
      </c>
      <c r="E49" s="8" t="e">
        <f aca="false">#REF!</f>
        <v>#REF!</v>
      </c>
      <c r="F49" s="8" t="e">
        <f aca="false">#REF!</f>
        <v>#REF!</v>
      </c>
      <c r="G49" s="8" t="e">
        <f aca="false">#REF!</f>
        <v>#REF!</v>
      </c>
      <c r="H49" s="8"/>
      <c r="I49" s="44" t="e">
        <f aca="false">#REF!</f>
        <v>#REF!</v>
      </c>
      <c r="J49" s="19" t="e">
        <f aca="false">IF(#REF!=D49,#REF!,#REF!)</f>
        <v>#REF!</v>
      </c>
      <c r="K49" s="16" t="e">
        <f aca="false">RIGHT(#REF!,5)</f>
        <v>#REF!</v>
      </c>
    </row>
    <row r="50" customFormat="false" ht="24" hidden="false" customHeight="true" outlineLevel="0" collapsed="false">
      <c r="A50" s="8" t="n">
        <v>38</v>
      </c>
      <c r="B50" s="8" t="n">
        <v>5</v>
      </c>
      <c r="C50" s="9" t="e">
        <f aca="true">IF(D50&lt;&gt;0,IF(I50=0,TODAY(),C50),"")</f>
        <v>#REF!</v>
      </c>
      <c r="D50" s="8" t="e">
        <f aca="false">#REF!</f>
        <v>#REF!</v>
      </c>
      <c r="E50" s="8" t="e">
        <f aca="false">#REF!</f>
        <v>#REF!</v>
      </c>
      <c r="F50" s="8" t="e">
        <f aca="false">#REF!</f>
        <v>#REF!</v>
      </c>
      <c r="G50" s="8" t="e">
        <f aca="false">#REF!</f>
        <v>#REF!</v>
      </c>
      <c r="H50" s="8"/>
      <c r="I50" s="44" t="e">
        <f aca="false">#REF!</f>
        <v>#REF!</v>
      </c>
      <c r="J50" s="19" t="e">
        <f aca="false">IF(#REF!=D50,#REF!,#REF!)</f>
        <v>#REF!</v>
      </c>
      <c r="K50" s="16" t="e">
        <f aca="false">RIGHT(#REF!,5)</f>
        <v>#REF!</v>
      </c>
    </row>
    <row r="51" customFormat="false" ht="24" hidden="false" customHeight="true" outlineLevel="0" collapsed="false">
      <c r="A51" s="8" t="n">
        <v>39</v>
      </c>
      <c r="B51" s="8" t="n">
        <v>5</v>
      </c>
      <c r="C51" s="9" t="e">
        <f aca="true">IF(D51&lt;&gt;0,IF(I51=0,TODAY(),C51),"")</f>
        <v>#REF!</v>
      </c>
      <c r="D51" s="8" t="e">
        <f aca="false">#REF!</f>
        <v>#REF!</v>
      </c>
      <c r="E51" s="8" t="e">
        <f aca="false">#REF!</f>
        <v>#REF!</v>
      </c>
      <c r="F51" s="8" t="e">
        <f aca="false">#REF!</f>
        <v>#REF!</v>
      </c>
      <c r="G51" s="8" t="e">
        <f aca="false">#REF!</f>
        <v>#REF!</v>
      </c>
      <c r="H51" s="8"/>
      <c r="I51" s="44" t="e">
        <f aca="false">#REF!</f>
        <v>#REF!</v>
      </c>
      <c r="J51" s="19" t="e">
        <f aca="false">IF(#REF!=D51,#REF!,#REF!)</f>
        <v>#REF!</v>
      </c>
      <c r="K51" s="16" t="e">
        <f aca="false">RIGHT(#REF!,5)</f>
        <v>#REF!</v>
      </c>
    </row>
    <row r="52" customFormat="false" ht="24" hidden="false" customHeight="true" outlineLevel="0" collapsed="false">
      <c r="A52" s="8" t="n">
        <v>40</v>
      </c>
      <c r="B52" s="8" t="n">
        <v>5</v>
      </c>
      <c r="C52" s="9" t="e">
        <f aca="true">IF(D52&lt;&gt;0,IF(I52=0,TODAY(),C52),"")</f>
        <v>#REF!</v>
      </c>
      <c r="D52" s="8" t="e">
        <f aca="false">#REF!</f>
        <v>#REF!</v>
      </c>
      <c r="E52" s="8" t="e">
        <f aca="false">#REF!</f>
        <v>#REF!</v>
      </c>
      <c r="F52" s="8" t="e">
        <f aca="false">#REF!</f>
        <v>#REF!</v>
      </c>
      <c r="G52" s="8" t="e">
        <f aca="false">#REF!</f>
        <v>#REF!</v>
      </c>
      <c r="H52" s="8"/>
      <c r="I52" s="44" t="e">
        <f aca="false">#REF!</f>
        <v>#REF!</v>
      </c>
      <c r="J52" s="19" t="e">
        <f aca="false">IF(#REF!=D52,#REF!,#REF!)</f>
        <v>#REF!</v>
      </c>
      <c r="K52" s="16" t="e">
        <f aca="false">RIGHT(#REF!,5)</f>
        <v>#REF!</v>
      </c>
    </row>
    <row r="53" customFormat="false" ht="24" hidden="false" customHeight="true" outlineLevel="0" collapsed="false">
      <c r="A53" s="8" t="n">
        <v>41</v>
      </c>
      <c r="B53" s="8"/>
      <c r="C53" s="9" t="e">
        <f aca="true">IF(D53&lt;&gt;0,IF(I53=0,TODAY(),C53),"")</f>
        <v>#REF!</v>
      </c>
      <c r="D53" s="8" t="e">
        <f aca="false">#REF!</f>
        <v>#REF!</v>
      </c>
      <c r="E53" s="8" t="e">
        <f aca="false">#REF!</f>
        <v>#REF!</v>
      </c>
      <c r="F53" s="8" t="e">
        <f aca="false">#REF!</f>
        <v>#REF!</v>
      </c>
      <c r="G53" s="8" t="e">
        <f aca="false">#REF!</f>
        <v>#REF!</v>
      </c>
      <c r="H53" s="8"/>
      <c r="I53" s="44" t="e">
        <f aca="false">#REF!</f>
        <v>#REF!</v>
      </c>
      <c r="J53" s="19" t="e">
        <f aca="false">IF(#REF!=D53,#REF!,#REF!)</f>
        <v>#REF!</v>
      </c>
      <c r="K53" s="16" t="e">
        <f aca="false">RIGHT(#REF!,5)</f>
        <v>#REF!</v>
      </c>
    </row>
    <row r="54" customFormat="false" ht="16.9" hidden="false" customHeight="true" outlineLevel="0" collapsed="false">
      <c r="A54" s="25" t="s">
        <v>57</v>
      </c>
      <c r="B54" s="26"/>
      <c r="C54" s="27"/>
      <c r="D54" s="27"/>
      <c r="E54" s="27"/>
      <c r="F54" s="27"/>
      <c r="G54" s="28"/>
      <c r="H54" s="28"/>
      <c r="I54" s="28"/>
      <c r="J54" s="29"/>
      <c r="K54" s="45"/>
    </row>
    <row r="55" customFormat="false" ht="12.75" hidden="false" customHeight="false" outlineLevel="0" collapsed="false">
      <c r="A55" s="31" t="s">
        <v>58</v>
      </c>
      <c r="B55" s="32"/>
      <c r="C55" s="33"/>
      <c r="D55" s="34"/>
      <c r="E55" s="34"/>
      <c r="F55" s="32"/>
      <c r="G55" s="35"/>
      <c r="H55" s="32"/>
      <c r="I55" s="31" t="s">
        <v>50</v>
      </c>
      <c r="J55" s="32"/>
      <c r="K55" s="36"/>
    </row>
    <row r="56" customFormat="false" ht="12.75" hidden="false" customHeight="false" outlineLevel="0" collapsed="false">
      <c r="A56" s="37" t="s">
        <v>51</v>
      </c>
      <c r="B56" s="28"/>
      <c r="C56" s="38"/>
      <c r="D56" s="38"/>
      <c r="E56" s="38"/>
      <c r="F56" s="28"/>
      <c r="G56" s="39"/>
      <c r="H56" s="28"/>
      <c r="I56" s="37" t="s">
        <v>52</v>
      </c>
      <c r="J56" s="28"/>
      <c r="K56" s="40"/>
    </row>
    <row r="57" customFormat="false" ht="12.75" hidden="false" customHeight="false" outlineLevel="0" collapsed="false">
      <c r="A57" s="41" t="s">
        <v>53</v>
      </c>
      <c r="B57" s="28"/>
      <c r="C57" s="38"/>
      <c r="D57" s="38"/>
      <c r="E57" s="38"/>
      <c r="F57" s="28"/>
      <c r="G57" s="39"/>
      <c r="H57" s="28"/>
      <c r="I57" s="37" t="s">
        <v>54</v>
      </c>
      <c r="J57" s="28"/>
      <c r="K57" s="40"/>
    </row>
    <row r="58" customFormat="false" ht="12.75" hidden="false" customHeight="false" outlineLevel="0" collapsed="false">
      <c r="A58" s="41"/>
      <c r="B58" s="28"/>
      <c r="C58" s="38"/>
      <c r="D58" s="42"/>
      <c r="E58" s="38"/>
      <c r="F58" s="43" t="s">
        <v>55</v>
      </c>
      <c r="G58" s="39"/>
      <c r="H58" s="28"/>
      <c r="I58" s="41"/>
      <c r="J58" s="43" t="s">
        <v>55</v>
      </c>
      <c r="K58" s="39"/>
    </row>
  </sheetData>
  <mergeCells count="10">
    <mergeCell ref="A1:E1"/>
    <mergeCell ref="F1:F2"/>
    <mergeCell ref="G1:G2"/>
    <mergeCell ref="I1:I2"/>
    <mergeCell ref="J1:K1"/>
    <mergeCell ref="A31:E31"/>
    <mergeCell ref="F31:F32"/>
    <mergeCell ref="G31:G32"/>
    <mergeCell ref="I31:I32"/>
    <mergeCell ref="J31:K31"/>
  </mergeCells>
  <conditionalFormatting sqref="D23:I23 I3:I22">
    <cfRule type="cellIs" priority="2" operator="equal" aboveAverage="0" equalAverage="0" bottom="0" percent="0" rank="0" text="" dxfId="0">
      <formula>0</formula>
    </cfRule>
  </conditionalFormatting>
  <conditionalFormatting sqref="B3:B22">
    <cfRule type="cellIs" priority="3" operator="equal" aboveAverage="0" equalAverage="0" bottom="0" percent="0" rank="0" text="" dxfId="1">
      <formula>0</formula>
    </cfRule>
  </conditionalFormatting>
  <conditionalFormatting sqref="D33:G53 I33:I53">
    <cfRule type="cellIs" priority="4" operator="equal" aboveAverage="0" equalAverage="0" bottom="0" percent="0" rank="0" text="" dxfId="2">
      <formula>0</formula>
    </cfRule>
  </conditionalFormatting>
  <conditionalFormatting sqref="J33:J53 J3:J23">
    <cfRule type="cellIs" priority="5" operator="equal" aboveAverage="0" equalAverage="0" bottom="0" percent="0" rank="0" text="" dxfId="3">
      <formula>0</formula>
    </cfRule>
  </conditionalFormatting>
  <conditionalFormatting sqref="D3:G22">
    <cfRule type="cellIs" priority="6" operator="equal" aboveAverage="0" equalAverage="0" bottom="0" percent="0" rank="0" text="" dxfId="4">
      <formula>0</formula>
    </cfRule>
  </conditionalFormatting>
  <printOptions headings="false" gridLines="false" gridLinesSet="true" horizontalCentered="true" verticalCentered="true"/>
  <pageMargins left="0" right="0" top="0.315277777777778" bottom="0.315277777777778" header="0.315277777777778" footer="0.315277777777778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>&amp;LITS Controlli Tecnici S.p.a&amp;CAnomalie Operative LAB 5&amp;R&amp;F</oddHeader>
    <oddFooter>&amp;L &amp;C&amp;D&amp;RPagina &amp;P</oddFooter>
  </headerFooter>
  <rowBreaks count="1" manualBreakCount="1">
    <brk id="28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57" activeCellId="0" sqref="A57"/>
    </sheetView>
  </sheetViews>
  <sheetFormatPr defaultColWidth="9.0546875" defaultRowHeight="12.75" customHeight="true" zeroHeight="false" outlineLevelRow="0" outlineLevelCol="0"/>
  <cols>
    <col collapsed="false" customWidth="true" hidden="false" outlineLevel="0" max="1" min="1" style="46" width="3.42"/>
    <col collapsed="false" customWidth="true" hidden="false" outlineLevel="0" max="2" min="2" style="46" width="4.7"/>
    <col collapsed="false" customWidth="true" hidden="false" outlineLevel="0" max="3" min="3" style="46" width="12.85"/>
    <col collapsed="false" customWidth="true" hidden="false" outlineLevel="0" max="4" min="4" style="47" width="9.7"/>
    <col collapsed="false" customWidth="true" hidden="false" outlineLevel="0" max="5" min="5" style="48" width="24.85"/>
    <col collapsed="false" customWidth="true" hidden="false" outlineLevel="0" max="6" min="6" style="46" width="6.99"/>
    <col collapsed="false" customWidth="true" hidden="false" outlineLevel="0" max="7" min="7" style="48" width="22.42"/>
    <col collapsed="false" customWidth="true" hidden="false" outlineLevel="0" max="8" min="8" style="49" width="7.7"/>
    <col collapsed="false" customWidth="true" hidden="false" outlineLevel="0" max="9" min="9" style="48" width="9.7"/>
    <col collapsed="false" customWidth="true" hidden="false" outlineLevel="0" max="10" min="10" style="48" width="7.14"/>
    <col collapsed="false" customWidth="true" hidden="false" outlineLevel="0" max="11" min="11" style="48" width="7.28"/>
    <col collapsed="false" customWidth="true" hidden="false" outlineLevel="0" max="12" min="12" style="48" width="6.99"/>
    <col collapsed="false" customWidth="true" hidden="false" outlineLevel="0" max="13" min="13" style="46" width="6.85"/>
    <col collapsed="false" customWidth="true" hidden="false" outlineLevel="0" max="14" min="14" style="48" width="21.13"/>
    <col collapsed="false" customWidth="true" hidden="false" outlineLevel="0" max="15" min="15" style="0" width="47.7"/>
    <col collapsed="false" customWidth="true" hidden="false" outlineLevel="0" max="16" min="16" style="0" width="13.41"/>
    <col collapsed="false" customWidth="true" hidden="false" outlineLevel="0" max="17" min="17" style="0" width="10.13"/>
    <col collapsed="false" customWidth="true" hidden="false" outlineLevel="0" max="18" min="18" style="0" width="4.85"/>
    <col collapsed="false" customWidth="true" hidden="false" outlineLevel="0" max="21" min="19" style="0" width="5.28"/>
    <col collapsed="false" customWidth="true" hidden="false" outlineLevel="0" max="22" min="22" style="0" width="10.28"/>
    <col collapsed="false" customWidth="true" hidden="false" outlineLevel="0" max="29" min="29" style="0" width="8.85"/>
    <col collapsed="false" customWidth="true" hidden="false" outlineLevel="0" max="30" min="30" style="0" width="23.85"/>
    <col collapsed="false" customWidth="true" hidden="false" outlineLevel="0" max="32" min="31" style="0" width="8.85"/>
  </cols>
  <sheetData>
    <row r="1" customFormat="false" ht="27.75" hidden="false" customHeight="true" outlineLevel="0" collapsed="false">
      <c r="A1" s="1" t="s">
        <v>59</v>
      </c>
      <c r="B1" s="1"/>
      <c r="C1" s="1"/>
      <c r="D1" s="1"/>
      <c r="E1" s="1"/>
      <c r="F1" s="2" t="s">
        <v>1</v>
      </c>
      <c r="G1" s="2" t="s">
        <v>60</v>
      </c>
      <c r="H1" s="3" t="s">
        <v>3</v>
      </c>
      <c r="I1" s="2" t="s">
        <v>61</v>
      </c>
      <c r="J1" s="2" t="s">
        <v>62</v>
      </c>
      <c r="K1" s="2" t="s">
        <v>63</v>
      </c>
      <c r="L1" s="2" t="s">
        <v>64</v>
      </c>
      <c r="M1" s="50" t="s">
        <v>65</v>
      </c>
      <c r="N1" s="51"/>
      <c r="O1" s="52" t="s">
        <v>66</v>
      </c>
      <c r="P1" s="4" t="s">
        <v>5</v>
      </c>
      <c r="Q1" s="4"/>
    </row>
    <row r="2" customFormat="false" ht="36.75" hidden="false" customHeight="true" outlineLevel="0" collapsed="false">
      <c r="A2" s="53" t="s">
        <v>6</v>
      </c>
      <c r="B2" s="53" t="s">
        <v>7</v>
      </c>
      <c r="C2" s="53" t="s">
        <v>67</v>
      </c>
      <c r="D2" s="53" t="s">
        <v>68</v>
      </c>
      <c r="E2" s="54" t="s">
        <v>10</v>
      </c>
      <c r="F2" s="2"/>
      <c r="G2" s="2"/>
      <c r="H2" s="6" t="s">
        <v>11</v>
      </c>
      <c r="I2" s="2"/>
      <c r="J2" s="2"/>
      <c r="K2" s="2"/>
      <c r="L2" s="2"/>
      <c r="M2" s="50"/>
      <c r="N2" s="55"/>
      <c r="O2" s="52"/>
      <c r="P2" s="56" t="s">
        <v>69</v>
      </c>
      <c r="Q2" s="7" t="s">
        <v>13</v>
      </c>
      <c r="R2" s="57" t="s">
        <v>70</v>
      </c>
      <c r="S2" s="57" t="s">
        <v>71</v>
      </c>
      <c r="T2" s="57" t="s">
        <v>72</v>
      </c>
      <c r="U2" s="57" t="s">
        <v>73</v>
      </c>
      <c r="AD2" s="58" t="s">
        <v>74</v>
      </c>
    </row>
    <row r="3" customFormat="false" ht="27.75" hidden="false" customHeight="true" outlineLevel="0" collapsed="false">
      <c r="A3" s="8" t="n">
        <v>1</v>
      </c>
      <c r="B3" s="8" t="n">
        <v>12</v>
      </c>
      <c r="C3" s="59" t="n">
        <v>46176</v>
      </c>
      <c r="D3" s="60" t="s">
        <v>75</v>
      </c>
      <c r="E3" s="61" t="s">
        <v>14</v>
      </c>
      <c r="F3" s="10" t="s">
        <v>15</v>
      </c>
      <c r="G3" s="62" t="s">
        <v>16</v>
      </c>
      <c r="H3" s="63"/>
      <c r="I3" s="64" t="s">
        <v>76</v>
      </c>
      <c r="J3" s="65"/>
      <c r="K3" s="66" t="n">
        <v>8.939</v>
      </c>
      <c r="L3" s="66" t="n">
        <v>14.148</v>
      </c>
      <c r="M3" s="67" t="n">
        <v>0.6</v>
      </c>
      <c r="N3" s="68" t="s">
        <v>74</v>
      </c>
      <c r="O3" s="69" t="s">
        <v>77</v>
      </c>
      <c r="P3" s="70" t="s">
        <v>18</v>
      </c>
      <c r="Q3" s="70" t="n">
        <v>43994</v>
      </c>
      <c r="R3" s="0" t="n">
        <v>12</v>
      </c>
      <c r="S3" s="0" t="n">
        <v>14</v>
      </c>
      <c r="T3" s="0" t="n">
        <v>0</v>
      </c>
      <c r="U3" s="0" t="n">
        <v>0</v>
      </c>
      <c r="V3" s="71"/>
      <c r="AD3" s="72" t="s">
        <v>78</v>
      </c>
    </row>
    <row r="4" customFormat="false" ht="27.75" hidden="false" customHeight="true" outlineLevel="0" collapsed="false">
      <c r="A4" s="8" t="n">
        <v>2</v>
      </c>
      <c r="B4" s="8" t="n">
        <v>12</v>
      </c>
      <c r="C4" s="59" t="n">
        <v>46176</v>
      </c>
      <c r="D4" s="73" t="s">
        <v>79</v>
      </c>
      <c r="E4" s="61" t="s">
        <v>80</v>
      </c>
      <c r="F4" s="10" t="s">
        <v>15</v>
      </c>
      <c r="G4" s="62" t="s">
        <v>16</v>
      </c>
      <c r="H4" s="63"/>
      <c r="I4" s="64" t="s">
        <v>81</v>
      </c>
      <c r="J4" s="65"/>
      <c r="K4" s="66" t="n">
        <v>9.455</v>
      </c>
      <c r="L4" s="66" t="n">
        <v>14.316</v>
      </c>
      <c r="M4" s="67" t="n">
        <v>0.23</v>
      </c>
      <c r="N4" s="74" t="s">
        <v>74</v>
      </c>
      <c r="O4" s="69"/>
      <c r="P4" s="70" t="n">
        <v>323853</v>
      </c>
      <c r="Q4" s="75" t="n">
        <v>46993</v>
      </c>
      <c r="R4" s="0" t="n">
        <v>-5</v>
      </c>
      <c r="S4" s="0" t="n">
        <v>-5</v>
      </c>
      <c r="T4" s="0" t="n">
        <v>0</v>
      </c>
      <c r="U4" s="0" t="n">
        <v>0</v>
      </c>
      <c r="V4" s="71"/>
      <c r="AD4" s="58" t="s">
        <v>82</v>
      </c>
    </row>
    <row r="5" customFormat="false" ht="27.75" hidden="false" customHeight="true" outlineLevel="0" collapsed="false">
      <c r="A5" s="8" t="n">
        <v>3</v>
      </c>
      <c r="B5" s="8" t="n">
        <v>12</v>
      </c>
      <c r="C5" s="59" t="n">
        <v>46177</v>
      </c>
      <c r="D5" s="73" t="s">
        <v>83</v>
      </c>
      <c r="E5" s="62" t="s">
        <v>26</v>
      </c>
      <c r="F5" s="10" t="s">
        <v>23</v>
      </c>
      <c r="G5" s="62" t="s">
        <v>24</v>
      </c>
      <c r="H5" s="63"/>
      <c r="I5" s="64" t="s">
        <v>84</v>
      </c>
      <c r="J5" s="65"/>
      <c r="K5" s="66" t="n">
        <v>9.008</v>
      </c>
      <c r="L5" s="66" t="n">
        <v>14.088</v>
      </c>
      <c r="M5" s="67" t="n">
        <v>0.45</v>
      </c>
      <c r="N5" s="74" t="s">
        <v>74</v>
      </c>
      <c r="O5" s="69"/>
      <c r="P5" s="70" t="n">
        <v>2345</v>
      </c>
      <c r="Q5" s="75" t="n">
        <v>19028</v>
      </c>
      <c r="R5" s="0" t="n">
        <v>0</v>
      </c>
      <c r="S5" s="0" t="n">
        <v>0</v>
      </c>
      <c r="T5" s="0" t="n">
        <v>0</v>
      </c>
      <c r="U5" s="0" t="n">
        <v>0</v>
      </c>
      <c r="V5" s="71" t="s">
        <v>85</v>
      </c>
      <c r="AD5" s="58" t="s">
        <v>86</v>
      </c>
    </row>
    <row r="6" customFormat="false" ht="27.75" hidden="false" customHeight="true" outlineLevel="0" collapsed="false">
      <c r="A6" s="8" t="n">
        <v>4</v>
      </c>
      <c r="B6" s="8" t="n">
        <v>12</v>
      </c>
      <c r="C6" s="59" t="n">
        <v>46177</v>
      </c>
      <c r="D6" s="60" t="s">
        <v>87</v>
      </c>
      <c r="E6" s="24" t="s">
        <v>26</v>
      </c>
      <c r="F6" s="8" t="s">
        <v>23</v>
      </c>
      <c r="G6" s="62" t="s">
        <v>27</v>
      </c>
      <c r="H6" s="63"/>
      <c r="I6" s="76" t="s">
        <v>88</v>
      </c>
      <c r="J6" s="65"/>
      <c r="K6" s="66" t="n">
        <v>9.033</v>
      </c>
      <c r="L6" s="66" t="n">
        <v>14.068</v>
      </c>
      <c r="M6" s="67" t="n">
        <v>0.4</v>
      </c>
      <c r="N6" s="68" t="s">
        <v>74</v>
      </c>
      <c r="O6" s="69" t="s">
        <v>89</v>
      </c>
      <c r="P6" s="75" t="s">
        <v>18</v>
      </c>
      <c r="Q6" s="75" t="n">
        <v>46284</v>
      </c>
      <c r="R6" s="0" t="n">
        <v>-1</v>
      </c>
      <c r="S6" s="0" t="n">
        <v>-1</v>
      </c>
      <c r="T6" s="0" t="n">
        <v>0</v>
      </c>
      <c r="U6" s="0" t="n">
        <v>0</v>
      </c>
      <c r="V6" s="71"/>
      <c r="AD6" s="58" t="s">
        <v>90</v>
      </c>
    </row>
    <row r="7" customFormat="false" ht="30" hidden="false" customHeight="true" outlineLevel="0" collapsed="false">
      <c r="A7" s="8" t="n">
        <v>5</v>
      </c>
      <c r="B7" s="8" t="n">
        <v>12</v>
      </c>
      <c r="C7" s="59" t="n">
        <v>46177</v>
      </c>
      <c r="D7" s="60" t="s">
        <v>91</v>
      </c>
      <c r="E7" s="24" t="s">
        <v>26</v>
      </c>
      <c r="F7" s="8" t="s">
        <v>23</v>
      </c>
      <c r="G7" s="62" t="s">
        <v>27</v>
      </c>
      <c r="H7" s="63"/>
      <c r="I7" s="76" t="s">
        <v>92</v>
      </c>
      <c r="J7" s="65"/>
      <c r="K7" s="66" t="n">
        <v>8.924</v>
      </c>
      <c r="L7" s="66" t="n">
        <v>14.008</v>
      </c>
      <c r="M7" s="67" t="n">
        <v>0.12</v>
      </c>
      <c r="N7" s="68" t="s">
        <v>74</v>
      </c>
      <c r="O7" s="69"/>
      <c r="P7" s="75" t="s">
        <v>18</v>
      </c>
      <c r="Q7" s="75" t="n">
        <v>46251</v>
      </c>
      <c r="R7" s="0" t="n">
        <v>-10</v>
      </c>
      <c r="S7" s="0" t="n">
        <v>-10</v>
      </c>
      <c r="T7" s="0" t="n">
        <v>0</v>
      </c>
      <c r="U7" s="0" t="n">
        <v>0</v>
      </c>
      <c r="V7" s="71"/>
      <c r="AD7" s="77" t="s">
        <v>93</v>
      </c>
    </row>
    <row r="8" customFormat="false" ht="27.75" hidden="false" customHeight="true" outlineLevel="0" collapsed="false">
      <c r="A8" s="8" t="n">
        <v>6</v>
      </c>
      <c r="B8" s="8" t="n">
        <v>12</v>
      </c>
      <c r="C8" s="59" t="n">
        <v>46177</v>
      </c>
      <c r="D8" s="60" t="s">
        <v>94</v>
      </c>
      <c r="E8" s="24" t="s">
        <v>26</v>
      </c>
      <c r="F8" s="8" t="s">
        <v>23</v>
      </c>
      <c r="G8" s="62" t="s">
        <v>27</v>
      </c>
      <c r="H8" s="63"/>
      <c r="I8" s="76" t="s">
        <v>95</v>
      </c>
      <c r="J8" s="65"/>
      <c r="K8" s="78"/>
      <c r="L8" s="78"/>
      <c r="M8" s="79"/>
      <c r="N8" s="80" t="s">
        <v>96</v>
      </c>
      <c r="O8" s="81" t="s">
        <v>77</v>
      </c>
      <c r="P8" s="75" t="s">
        <v>18</v>
      </c>
      <c r="Q8" s="75" t="n">
        <v>46158</v>
      </c>
      <c r="R8" s="0" t="n">
        <v>0</v>
      </c>
      <c r="S8" s="0" t="n">
        <v>0</v>
      </c>
      <c r="T8" s="0" t="n">
        <v>0</v>
      </c>
      <c r="U8" s="0" t="n">
        <v>0</v>
      </c>
      <c r="V8" s="71"/>
      <c r="AD8" s="77" t="s">
        <v>97</v>
      </c>
    </row>
    <row r="9" customFormat="false" ht="27.75" hidden="false" customHeight="true" outlineLevel="0" collapsed="false">
      <c r="A9" s="8" t="n">
        <v>7</v>
      </c>
      <c r="B9" s="8" t="n">
        <v>12</v>
      </c>
      <c r="C9" s="59" t="n">
        <v>46177</v>
      </c>
      <c r="D9" s="60" t="s">
        <v>98</v>
      </c>
      <c r="E9" s="24" t="s">
        <v>31</v>
      </c>
      <c r="F9" s="8" t="s">
        <v>23</v>
      </c>
      <c r="G9" s="62" t="s">
        <v>27</v>
      </c>
      <c r="H9" s="63"/>
      <c r="I9" s="76" t="s">
        <v>99</v>
      </c>
      <c r="J9" s="65"/>
      <c r="K9" s="66" t="n">
        <v>9.02</v>
      </c>
      <c r="L9" s="66" t="n">
        <v>14.01</v>
      </c>
      <c r="M9" s="67" t="n">
        <v>0.62</v>
      </c>
      <c r="N9" s="68" t="s">
        <v>74</v>
      </c>
      <c r="O9" s="69"/>
      <c r="P9" s="70" t="s">
        <v>18</v>
      </c>
      <c r="Q9" s="75" t="n">
        <v>58568</v>
      </c>
      <c r="R9" s="0" t="n">
        <v>-5</v>
      </c>
      <c r="S9" s="0" t="n">
        <v>-5</v>
      </c>
      <c r="T9" s="0" t="n">
        <v>0</v>
      </c>
      <c r="U9" s="0" t="n">
        <v>0</v>
      </c>
      <c r="V9" s="71"/>
      <c r="AD9" s="77" t="s">
        <v>100</v>
      </c>
    </row>
    <row r="10" customFormat="false" ht="27.75" hidden="false" customHeight="true" outlineLevel="0" collapsed="false">
      <c r="A10" s="8" t="n">
        <v>8</v>
      </c>
      <c r="B10" s="8" t="n">
        <v>12</v>
      </c>
      <c r="C10" s="59" t="n">
        <v>46177</v>
      </c>
      <c r="D10" s="60" t="s">
        <v>101</v>
      </c>
      <c r="E10" s="24" t="s">
        <v>102</v>
      </c>
      <c r="F10" s="8" t="s">
        <v>23</v>
      </c>
      <c r="G10" s="62" t="s">
        <v>16</v>
      </c>
      <c r="H10" s="63"/>
      <c r="I10" s="76" t="s">
        <v>103</v>
      </c>
      <c r="J10" s="65"/>
      <c r="K10" s="66" t="n">
        <v>8.959</v>
      </c>
      <c r="L10" s="66" t="n">
        <v>14.014</v>
      </c>
      <c r="M10" s="67" t="n">
        <v>0.47</v>
      </c>
      <c r="N10" s="68" t="s">
        <v>74</v>
      </c>
      <c r="O10" s="69"/>
      <c r="P10" s="70" t="n">
        <v>35929</v>
      </c>
      <c r="Q10" s="75" t="n">
        <v>23410</v>
      </c>
      <c r="R10" s="0" t="n">
        <v>0</v>
      </c>
      <c r="S10" s="0" t="n">
        <v>0</v>
      </c>
      <c r="T10" s="0" t="n">
        <v>0</v>
      </c>
      <c r="U10" s="0" t="n">
        <v>0</v>
      </c>
      <c r="V10" s="71"/>
      <c r="AD10" s="77" t="s">
        <v>96</v>
      </c>
    </row>
    <row r="11" customFormat="false" ht="27.75" hidden="false" customHeight="true" outlineLevel="0" collapsed="false">
      <c r="A11" s="8" t="n">
        <v>9</v>
      </c>
      <c r="B11" s="8" t="n">
        <v>12</v>
      </c>
      <c r="C11" s="59" t="n">
        <v>46177</v>
      </c>
      <c r="D11" s="60" t="s">
        <v>104</v>
      </c>
      <c r="E11" s="24" t="s">
        <v>102</v>
      </c>
      <c r="F11" s="8" t="s">
        <v>23</v>
      </c>
      <c r="G11" s="62" t="s">
        <v>16</v>
      </c>
      <c r="H11" s="63"/>
      <c r="I11" s="76" t="s">
        <v>105</v>
      </c>
      <c r="J11" s="65"/>
      <c r="K11" s="66" t="n">
        <v>8.947</v>
      </c>
      <c r="L11" s="82" t="n">
        <v>14.023</v>
      </c>
      <c r="M11" s="67" t="n">
        <v>0.3</v>
      </c>
      <c r="N11" s="68" t="s">
        <v>74</v>
      </c>
      <c r="O11" s="69"/>
      <c r="P11" s="70" t="s">
        <v>18</v>
      </c>
      <c r="Q11" s="70" t="n">
        <v>56047</v>
      </c>
      <c r="R11" s="0" t="n">
        <v>-4</v>
      </c>
      <c r="S11" s="0" t="n">
        <v>-4</v>
      </c>
      <c r="T11" s="0" t="n">
        <v>0</v>
      </c>
      <c r="U11" s="0" t="n">
        <v>0</v>
      </c>
      <c r="V11" s="71"/>
    </row>
    <row r="12" customFormat="false" ht="27.75" hidden="false" customHeight="true" outlineLevel="0" collapsed="false">
      <c r="A12" s="8" t="n">
        <v>10</v>
      </c>
      <c r="B12" s="8" t="n">
        <v>12</v>
      </c>
      <c r="C12" s="59" t="n">
        <v>46177</v>
      </c>
      <c r="D12" s="60" t="s">
        <v>106</v>
      </c>
      <c r="E12" s="24" t="s">
        <v>102</v>
      </c>
      <c r="F12" s="8" t="s">
        <v>23</v>
      </c>
      <c r="G12" s="62" t="s">
        <v>16</v>
      </c>
      <c r="H12" s="63"/>
      <c r="I12" s="76" t="s">
        <v>107</v>
      </c>
      <c r="J12" s="65"/>
      <c r="K12" s="66" t="n">
        <v>8.953</v>
      </c>
      <c r="L12" s="66" t="n">
        <v>14.006</v>
      </c>
      <c r="M12" s="67" t="n">
        <v>0.35</v>
      </c>
      <c r="N12" s="68" t="s">
        <v>74</v>
      </c>
      <c r="O12" s="69"/>
      <c r="P12" s="75" t="s">
        <v>18</v>
      </c>
      <c r="Q12" s="75" t="n">
        <v>15398</v>
      </c>
      <c r="R12" s="0" t="n">
        <v>2</v>
      </c>
      <c r="S12" s="0" t="n">
        <v>3</v>
      </c>
      <c r="T12" s="0" t="n">
        <v>0</v>
      </c>
      <c r="U12" s="0" t="n">
        <v>0</v>
      </c>
      <c r="V12" s="71"/>
    </row>
    <row r="13" customFormat="false" ht="27.6" hidden="false" customHeight="true" outlineLevel="0" collapsed="false">
      <c r="A13" s="8" t="n">
        <v>11</v>
      </c>
      <c r="B13" s="8" t="n">
        <v>12</v>
      </c>
      <c r="C13" s="59" t="n">
        <v>46177</v>
      </c>
      <c r="D13" s="60" t="s">
        <v>108</v>
      </c>
      <c r="E13" s="24" t="s">
        <v>102</v>
      </c>
      <c r="F13" s="8" t="s">
        <v>23</v>
      </c>
      <c r="G13" s="62" t="s">
        <v>16</v>
      </c>
      <c r="H13" s="63"/>
      <c r="I13" s="76" t="s">
        <v>81</v>
      </c>
      <c r="J13" s="65"/>
      <c r="K13" s="66" t="n">
        <v>8.967</v>
      </c>
      <c r="L13" s="66" t="n">
        <v>14.021</v>
      </c>
      <c r="M13" s="67" t="n">
        <v>0.48</v>
      </c>
      <c r="N13" s="68" t="s">
        <v>74</v>
      </c>
      <c r="O13" s="69"/>
      <c r="P13" s="75" t="n">
        <v>34989</v>
      </c>
      <c r="Q13" s="75" t="n">
        <v>15398</v>
      </c>
      <c r="R13" s="0" t="n">
        <v>15</v>
      </c>
      <c r="S13" s="0" t="n">
        <v>17</v>
      </c>
      <c r="T13" s="0" t="n">
        <v>0</v>
      </c>
      <c r="U13" s="0" t="n">
        <v>0</v>
      </c>
      <c r="V13" s="71"/>
    </row>
    <row r="14" customFormat="false" ht="27.75" hidden="false" customHeight="true" outlineLevel="0" collapsed="false">
      <c r="A14" s="8" t="n">
        <v>12</v>
      </c>
      <c r="B14" s="8" t="n">
        <v>12</v>
      </c>
      <c r="C14" s="59" t="n">
        <v>46178</v>
      </c>
      <c r="D14" s="60" t="s">
        <v>109</v>
      </c>
      <c r="E14" s="24" t="s">
        <v>110</v>
      </c>
      <c r="F14" s="8" t="s">
        <v>23</v>
      </c>
      <c r="G14" s="62" t="s">
        <v>16</v>
      </c>
      <c r="H14" s="63"/>
      <c r="I14" s="76" t="s">
        <v>111</v>
      </c>
      <c r="J14" s="65"/>
      <c r="K14" s="66" t="n">
        <v>8.949</v>
      </c>
      <c r="L14" s="66" t="n">
        <v>14</v>
      </c>
      <c r="M14" s="67" t="n">
        <v>0.34</v>
      </c>
      <c r="N14" s="74" t="s">
        <v>74</v>
      </c>
      <c r="O14" s="69"/>
      <c r="P14" s="70" t="s">
        <v>18</v>
      </c>
      <c r="Q14" s="75" t="n">
        <v>23395</v>
      </c>
      <c r="R14" s="0" t="n">
        <v>-2</v>
      </c>
      <c r="S14" s="0" t="n">
        <v>-3</v>
      </c>
      <c r="T14" s="0" t="n">
        <v>0</v>
      </c>
      <c r="U14" s="0" t="n">
        <v>0</v>
      </c>
      <c r="V14" s="71"/>
    </row>
    <row r="15" customFormat="false" ht="27.75" hidden="false" customHeight="true" outlineLevel="0" collapsed="false">
      <c r="A15" s="8" t="n">
        <v>13</v>
      </c>
      <c r="B15" s="8" t="n">
        <v>12</v>
      </c>
      <c r="C15" s="59" t="n">
        <v>46178</v>
      </c>
      <c r="D15" s="60" t="s">
        <v>112</v>
      </c>
      <c r="E15" s="24" t="s">
        <v>113</v>
      </c>
      <c r="F15" s="8" t="s">
        <v>23</v>
      </c>
      <c r="G15" s="62" t="s">
        <v>24</v>
      </c>
      <c r="H15" s="63"/>
      <c r="I15" s="76" t="s">
        <v>114</v>
      </c>
      <c r="J15" s="65"/>
      <c r="K15" s="66" t="n">
        <v>8.963</v>
      </c>
      <c r="L15" s="66" t="n">
        <v>14.033</v>
      </c>
      <c r="M15" s="67" t="n">
        <v>0.26</v>
      </c>
      <c r="N15" s="68" t="s">
        <v>74</v>
      </c>
      <c r="O15" s="69"/>
      <c r="P15" s="70" t="s">
        <v>18</v>
      </c>
      <c r="Q15" s="75" t="n">
        <v>19028</v>
      </c>
      <c r="R15" s="0" t="n">
        <v>-1</v>
      </c>
      <c r="S15" s="0" t="n">
        <v>-1</v>
      </c>
      <c r="T15" s="0" t="n">
        <v>0</v>
      </c>
      <c r="U15" s="0" t="n">
        <v>0</v>
      </c>
      <c r="V15" s="71"/>
    </row>
    <row r="16" customFormat="false" ht="27.75" hidden="false" customHeight="true" outlineLevel="0" collapsed="false">
      <c r="A16" s="8" t="n">
        <v>14</v>
      </c>
      <c r="B16" s="8" t="n">
        <v>12</v>
      </c>
      <c r="C16" s="59" t="n">
        <v>46178</v>
      </c>
      <c r="D16" s="73" t="s">
        <v>115</v>
      </c>
      <c r="E16" s="62" t="s">
        <v>38</v>
      </c>
      <c r="F16" s="10" t="s">
        <v>23</v>
      </c>
      <c r="G16" s="62" t="s">
        <v>16</v>
      </c>
      <c r="H16" s="63"/>
      <c r="I16" s="64" t="s">
        <v>116</v>
      </c>
      <c r="J16" s="65"/>
      <c r="K16" s="66" t="n">
        <v>8.955</v>
      </c>
      <c r="L16" s="66" t="n">
        <v>14.004</v>
      </c>
      <c r="M16" s="67" t="n">
        <v>0.57</v>
      </c>
      <c r="N16" s="74" t="s">
        <v>74</v>
      </c>
      <c r="O16" s="69"/>
      <c r="P16" s="70" t="n">
        <v>11451</v>
      </c>
      <c r="Q16" s="75" t="n">
        <v>46992</v>
      </c>
      <c r="R16" s="0" t="n">
        <v>9</v>
      </c>
      <c r="S16" s="0" t="n">
        <v>11</v>
      </c>
      <c r="T16" s="0" t="n">
        <v>0</v>
      </c>
      <c r="U16" s="0" t="n">
        <v>0</v>
      </c>
      <c r="V16" s="71"/>
    </row>
    <row r="17" customFormat="false" ht="27.75" hidden="false" customHeight="true" outlineLevel="0" collapsed="false">
      <c r="A17" s="8" t="n">
        <v>15</v>
      </c>
      <c r="B17" s="8" t="n">
        <v>12</v>
      </c>
      <c r="C17" s="59" t="n">
        <v>46178</v>
      </c>
      <c r="D17" s="73" t="s">
        <v>117</v>
      </c>
      <c r="E17" s="61" t="s">
        <v>38</v>
      </c>
      <c r="F17" s="10" t="s">
        <v>23</v>
      </c>
      <c r="G17" s="62" t="s">
        <v>16</v>
      </c>
      <c r="H17" s="63"/>
      <c r="I17" s="64" t="s">
        <v>118</v>
      </c>
      <c r="J17" s="65"/>
      <c r="K17" s="66" t="n">
        <v>8.955</v>
      </c>
      <c r="L17" s="66" t="n">
        <v>14.047</v>
      </c>
      <c r="M17" s="67" t="n">
        <v>0.51</v>
      </c>
      <c r="N17" s="74" t="s">
        <v>74</v>
      </c>
      <c r="O17" s="69" t="s">
        <v>77</v>
      </c>
      <c r="P17" s="70" t="s">
        <v>39</v>
      </c>
      <c r="Q17" s="75" t="n">
        <v>43995</v>
      </c>
      <c r="R17" s="0" t="n">
        <v>17</v>
      </c>
      <c r="S17" s="0" t="n">
        <v>15</v>
      </c>
      <c r="T17" s="0" t="n">
        <v>0</v>
      </c>
      <c r="U17" s="0" t="n">
        <v>0</v>
      </c>
      <c r="V17" s="71"/>
    </row>
    <row r="18" customFormat="false" ht="27.75" hidden="false" customHeight="true" outlineLevel="0" collapsed="false">
      <c r="A18" s="8" t="n">
        <v>16</v>
      </c>
      <c r="B18" s="8" t="n">
        <v>12</v>
      </c>
      <c r="C18" s="59" t="n">
        <v>46178</v>
      </c>
      <c r="D18" s="60" t="s">
        <v>119</v>
      </c>
      <c r="E18" s="61" t="s">
        <v>38</v>
      </c>
      <c r="F18" s="8" t="s">
        <v>23</v>
      </c>
      <c r="G18" s="62" t="s">
        <v>16</v>
      </c>
      <c r="H18" s="63"/>
      <c r="I18" s="76" t="s">
        <v>99</v>
      </c>
      <c r="J18" s="65"/>
      <c r="K18" s="66" t="n">
        <v>9.158</v>
      </c>
      <c r="L18" s="66" t="n">
        <v>14.025</v>
      </c>
      <c r="M18" s="67" t="n">
        <v>0.16</v>
      </c>
      <c r="N18" s="74" t="s">
        <v>74</v>
      </c>
      <c r="O18" s="83"/>
      <c r="P18" s="70" t="s">
        <v>18</v>
      </c>
      <c r="Q18" s="75" t="n">
        <v>56038</v>
      </c>
      <c r="R18" s="0" t="n">
        <v>-1</v>
      </c>
      <c r="S18" s="0" t="n">
        <v>0</v>
      </c>
      <c r="T18" s="0" t="n">
        <v>0</v>
      </c>
      <c r="U18" s="0" t="n">
        <v>0</v>
      </c>
      <c r="V18" s="71"/>
    </row>
    <row r="19" customFormat="false" ht="27.75" hidden="false" customHeight="true" outlineLevel="0" collapsed="false">
      <c r="A19" s="8" t="n">
        <v>17</v>
      </c>
      <c r="B19" s="8" t="n">
        <v>12</v>
      </c>
      <c r="C19" s="59" t="n">
        <v>46178</v>
      </c>
      <c r="D19" s="60" t="s">
        <v>120</v>
      </c>
      <c r="E19" s="24" t="s">
        <v>121</v>
      </c>
      <c r="F19" s="8" t="s">
        <v>23</v>
      </c>
      <c r="G19" s="62" t="s">
        <v>16</v>
      </c>
      <c r="H19" s="63"/>
      <c r="I19" s="64" t="s">
        <v>122</v>
      </c>
      <c r="J19" s="65"/>
      <c r="K19" s="66" t="n">
        <v>8.965</v>
      </c>
      <c r="L19" s="66" t="n">
        <v>14.021</v>
      </c>
      <c r="M19" s="67" t="n">
        <v>0.45</v>
      </c>
      <c r="N19" s="74" t="s">
        <v>74</v>
      </c>
      <c r="O19" s="83"/>
      <c r="P19" s="75" t="n">
        <v>38286</v>
      </c>
      <c r="Q19" s="75" t="n">
        <v>15398</v>
      </c>
      <c r="R19" s="0" t="n">
        <v>13</v>
      </c>
      <c r="S19" s="0" t="n">
        <v>14</v>
      </c>
      <c r="T19" s="0" t="n">
        <v>0</v>
      </c>
      <c r="U19" s="0" t="n">
        <v>0</v>
      </c>
      <c r="V19" s="71"/>
    </row>
    <row r="20" customFormat="false" ht="27.75" hidden="false" customHeight="true" outlineLevel="0" collapsed="false">
      <c r="A20" s="8" t="n">
        <v>18</v>
      </c>
      <c r="B20" s="8" t="n">
        <v>12</v>
      </c>
      <c r="C20" s="59" t="n">
        <v>46178</v>
      </c>
      <c r="D20" s="60" t="s">
        <v>123</v>
      </c>
      <c r="E20" s="24" t="s">
        <v>42</v>
      </c>
      <c r="F20" s="8" t="s">
        <v>23</v>
      </c>
      <c r="G20" s="62" t="s">
        <v>16</v>
      </c>
      <c r="H20" s="63"/>
      <c r="I20" s="76" t="s">
        <v>76</v>
      </c>
      <c r="J20" s="65"/>
      <c r="K20" s="66" t="n">
        <v>8.928</v>
      </c>
      <c r="L20" s="82" t="n">
        <v>14.02</v>
      </c>
      <c r="M20" s="67" t="n">
        <v>0.53</v>
      </c>
      <c r="N20" s="74" t="s">
        <v>74</v>
      </c>
      <c r="O20" s="69" t="s">
        <v>124</v>
      </c>
      <c r="P20" s="70" t="s">
        <v>18</v>
      </c>
      <c r="Q20" s="75" t="n">
        <v>20502</v>
      </c>
      <c r="R20" s="0" t="n">
        <v>-7</v>
      </c>
      <c r="S20" s="0" t="n">
        <v>-7</v>
      </c>
      <c r="T20" s="0" t="n">
        <v>-1</v>
      </c>
      <c r="U20" s="0" t="n">
        <v>0</v>
      </c>
      <c r="V20" s="71"/>
    </row>
    <row r="21" customFormat="false" ht="27.75" hidden="false" customHeight="true" outlineLevel="0" collapsed="false">
      <c r="A21" s="8" t="n">
        <v>19</v>
      </c>
      <c r="B21" s="8" t="n">
        <v>12</v>
      </c>
      <c r="C21" s="59" t="n">
        <v>46178</v>
      </c>
      <c r="D21" s="60" t="s">
        <v>125</v>
      </c>
      <c r="E21" s="24" t="s">
        <v>42</v>
      </c>
      <c r="F21" s="8" t="s">
        <v>23</v>
      </c>
      <c r="G21" s="62" t="s">
        <v>16</v>
      </c>
      <c r="H21" s="63"/>
      <c r="I21" s="76" t="s">
        <v>81</v>
      </c>
      <c r="J21" s="65"/>
      <c r="K21" s="66" t="n">
        <v>8.943</v>
      </c>
      <c r="L21" s="66" t="n">
        <v>14.021</v>
      </c>
      <c r="M21" s="67" t="n">
        <v>0.22</v>
      </c>
      <c r="N21" s="74" t="s">
        <v>74</v>
      </c>
      <c r="O21" s="69"/>
      <c r="P21" s="75" t="s">
        <v>18</v>
      </c>
      <c r="Q21" s="75" t="n">
        <v>41205</v>
      </c>
      <c r="R21" s="0" t="n">
        <v>-8</v>
      </c>
      <c r="S21" s="0" t="n">
        <v>-9</v>
      </c>
      <c r="T21" s="0" t="n">
        <v>0</v>
      </c>
      <c r="U21" s="0" t="n">
        <v>0</v>
      </c>
      <c r="V21" s="71"/>
    </row>
    <row r="22" customFormat="false" ht="27.75" hidden="false" customHeight="true" outlineLevel="0" collapsed="false">
      <c r="A22" s="8" t="n">
        <v>20</v>
      </c>
      <c r="B22" s="8" t="n">
        <v>12</v>
      </c>
      <c r="C22" s="59" t="n">
        <v>46178</v>
      </c>
      <c r="D22" s="60" t="s">
        <v>126</v>
      </c>
      <c r="E22" s="24" t="s">
        <v>42</v>
      </c>
      <c r="F22" s="8" t="s">
        <v>23</v>
      </c>
      <c r="G22" s="62" t="s">
        <v>16</v>
      </c>
      <c r="H22" s="63"/>
      <c r="I22" s="76" t="s">
        <v>127</v>
      </c>
      <c r="J22" s="65"/>
      <c r="K22" s="66" t="n">
        <v>8.945</v>
      </c>
      <c r="L22" s="66" t="n">
        <v>14.027</v>
      </c>
      <c r="M22" s="67" t="n">
        <v>0.35</v>
      </c>
      <c r="N22" s="74" t="s">
        <v>74</v>
      </c>
      <c r="O22" s="69" t="s">
        <v>128</v>
      </c>
      <c r="P22" s="75" t="s">
        <v>18</v>
      </c>
      <c r="Q22" s="75" t="n">
        <v>41196</v>
      </c>
      <c r="R22" s="0" t="n">
        <v>4</v>
      </c>
      <c r="S22" s="0" t="n">
        <v>5</v>
      </c>
      <c r="T22" s="0" t="n">
        <v>0</v>
      </c>
      <c r="U22" s="0" t="n">
        <v>0</v>
      </c>
      <c r="V22" s="71"/>
    </row>
    <row r="23" customFormat="false" ht="27.75" hidden="false" customHeight="true" outlineLevel="0" collapsed="false">
      <c r="A23" s="84"/>
      <c r="B23" s="8"/>
      <c r="C23" s="59" t="e">
        <f aca="true">IF(D23&lt;&gt;0,IF(K23="",TODAY(),C23),"")</f>
        <v>#REF!</v>
      </c>
      <c r="D23" s="60" t="e">
        <f aca="false">#REF!</f>
        <v>#REF!</v>
      </c>
      <c r="E23" s="24" t="e">
        <f aca="false">#REF!</f>
        <v>#REF!</v>
      </c>
      <c r="F23" s="8" t="e">
        <f aca="false">#REF!</f>
        <v>#REF!</v>
      </c>
      <c r="G23" s="24" t="e">
        <f aca="false">#REF!</f>
        <v>#REF!</v>
      </c>
      <c r="H23" s="63" t="e">
        <f aca="false">#REF!</f>
        <v>#REF!</v>
      </c>
      <c r="I23" s="76" t="e">
        <f aca="true">IF(D23&lt;&gt;0,IF(K23="",NOW(),I23),"")</f>
        <v>#REF!</v>
      </c>
      <c r="J23" s="65"/>
      <c r="K23" s="66"/>
      <c r="L23" s="66"/>
      <c r="M23" s="67"/>
      <c r="N23" s="85"/>
      <c r="O23" s="83" t="e">
        <f aca="false">#REF!</f>
        <v>#REF!</v>
      </c>
      <c r="P23" s="75" t="e">
        <f aca="false">IF(#REF!=0,"",#REF!)</f>
        <v>#REF!</v>
      </c>
      <c r="Q23" s="75" t="e">
        <f aca="false">RIGHT(#REF!,5)</f>
        <v>#REF!</v>
      </c>
      <c r="V23" s="71"/>
    </row>
    <row r="24" customFormat="false" ht="19.5" hidden="false" customHeight="true" outlineLevel="0" collapsed="false">
      <c r="A24" s="28" t="s">
        <v>129</v>
      </c>
      <c r="B24" s="86"/>
      <c r="C24" s="87"/>
      <c r="D24" s="42"/>
      <c r="E24" s="28"/>
      <c r="F24" s="88"/>
      <c r="G24" s="28"/>
      <c r="H24" s="89"/>
      <c r="I24" s="90" t="s">
        <v>130</v>
      </c>
      <c r="J24" s="90"/>
      <c r="K24" s="90"/>
      <c r="L24" s="90"/>
      <c r="M24" s="90"/>
      <c r="N24" s="90"/>
      <c r="O24" s="90"/>
      <c r="P24" s="90"/>
      <c r="Q24" s="90"/>
    </row>
    <row r="25" customFormat="false" ht="18.75" hidden="false" customHeight="true" outlineLevel="0" collapsed="false">
      <c r="A25" s="48" t="s">
        <v>131</v>
      </c>
      <c r="I25" s="90"/>
      <c r="J25" s="90"/>
      <c r="K25" s="90"/>
      <c r="L25" s="90"/>
      <c r="M25" s="90"/>
      <c r="N25" s="90"/>
      <c r="O25" s="90"/>
      <c r="P25" s="90"/>
      <c r="Q25" s="90"/>
    </row>
    <row r="26" customFormat="false" ht="18.75" hidden="false" customHeight="true" outlineLevel="0" collapsed="false">
      <c r="A26" s="31" t="s">
        <v>49</v>
      </c>
      <c r="B26" s="91"/>
      <c r="C26" s="33"/>
      <c r="D26" s="34"/>
      <c r="E26" s="34"/>
      <c r="F26" s="91"/>
      <c r="G26" s="32"/>
      <c r="H26" s="92"/>
      <c r="I26" s="32"/>
      <c r="J26" s="35"/>
      <c r="K26" s="31" t="s">
        <v>132</v>
      </c>
      <c r="L26" s="32"/>
      <c r="N26" s="32"/>
      <c r="O26" s="33"/>
      <c r="P26" s="34"/>
      <c r="Q26" s="93"/>
    </row>
    <row r="27" customFormat="false" ht="12.75" hidden="false" customHeight="false" outlineLevel="0" collapsed="false">
      <c r="A27" s="37" t="s">
        <v>133</v>
      </c>
      <c r="B27" s="88"/>
      <c r="C27" s="38"/>
      <c r="D27" s="38"/>
      <c r="E27" s="38"/>
      <c r="F27" s="88"/>
      <c r="G27" s="28"/>
      <c r="H27" s="89"/>
      <c r="I27" s="28"/>
      <c r="J27" s="39"/>
      <c r="K27" s="37" t="s">
        <v>134</v>
      </c>
      <c r="L27" s="28"/>
      <c r="M27" s="88"/>
      <c r="N27" s="28"/>
      <c r="O27" s="38"/>
      <c r="P27" s="38"/>
      <c r="Q27" s="40"/>
    </row>
    <row r="28" customFormat="false" ht="12.75" hidden="false" customHeight="false" outlineLevel="0" collapsed="false">
      <c r="A28" s="41" t="s">
        <v>53</v>
      </c>
      <c r="B28" s="88"/>
      <c r="C28" s="38"/>
      <c r="D28" s="38"/>
      <c r="E28" s="38"/>
      <c r="F28" s="88"/>
      <c r="G28" s="28"/>
      <c r="H28" s="89"/>
      <c r="I28" s="28"/>
      <c r="J28" s="39"/>
      <c r="K28" s="37" t="s">
        <v>54</v>
      </c>
      <c r="L28" s="28"/>
      <c r="M28" s="88"/>
      <c r="N28" s="28"/>
      <c r="O28" s="38"/>
      <c r="P28" s="38"/>
      <c r="Q28" s="40"/>
    </row>
    <row r="29" customFormat="false" ht="12.75" hidden="false" customHeight="false" outlineLevel="0" collapsed="false">
      <c r="A29" s="41"/>
      <c r="B29" s="88"/>
      <c r="C29" s="38"/>
      <c r="D29" s="42"/>
      <c r="E29" s="38"/>
      <c r="F29" s="88"/>
      <c r="G29" s="43" t="s">
        <v>55</v>
      </c>
      <c r="H29" s="94"/>
      <c r="I29" s="28"/>
      <c r="J29" s="39"/>
      <c r="K29" s="41"/>
      <c r="L29" s="28"/>
      <c r="M29" s="88"/>
      <c r="N29" s="28"/>
      <c r="O29" s="38"/>
      <c r="P29" s="43" t="s">
        <v>55</v>
      </c>
      <c r="Q29" s="40"/>
    </row>
    <row r="30" customFormat="false" ht="12" hidden="false" customHeight="true" outlineLevel="0" collapsed="false">
      <c r="A30" s="95"/>
      <c r="B30" s="88"/>
      <c r="C30" s="88"/>
      <c r="D30" s="42"/>
      <c r="E30" s="28"/>
      <c r="F30" s="88"/>
      <c r="G30" s="28"/>
      <c r="H30" s="89"/>
      <c r="I30" s="28"/>
      <c r="J30" s="39"/>
      <c r="K30" s="41"/>
      <c r="L30" s="28"/>
      <c r="M30" s="88"/>
      <c r="N30" s="28"/>
      <c r="O30" s="38"/>
      <c r="P30" s="38"/>
      <c r="Q30" s="40"/>
    </row>
    <row r="31" customFormat="false" ht="26.25" hidden="false" customHeight="true" outlineLevel="0" collapsed="false">
      <c r="A31" s="96"/>
      <c r="B31" s="97"/>
      <c r="C31" s="97"/>
      <c r="D31" s="98"/>
      <c r="E31" s="99"/>
      <c r="F31" s="97" t="s">
        <v>135</v>
      </c>
      <c r="G31" s="100" t="s">
        <v>136</v>
      </c>
      <c r="H31" s="101"/>
      <c r="I31" s="99"/>
      <c r="J31" s="102"/>
      <c r="K31" s="103"/>
      <c r="L31" s="99"/>
      <c r="M31" s="97"/>
      <c r="N31" s="99"/>
      <c r="O31" s="104" t="s">
        <v>137</v>
      </c>
      <c r="P31" s="105" t="s">
        <v>138</v>
      </c>
      <c r="Q31" s="106"/>
    </row>
    <row r="32" customFormat="false" ht="27.75" hidden="false" customHeight="true" outlineLevel="0" collapsed="false">
      <c r="A32" s="1" t="s">
        <v>59</v>
      </c>
      <c r="B32" s="1"/>
      <c r="C32" s="1"/>
      <c r="D32" s="1"/>
      <c r="E32" s="1"/>
      <c r="F32" s="2" t="s">
        <v>1</v>
      </c>
      <c r="G32" s="2" t="s">
        <v>60</v>
      </c>
      <c r="H32" s="3" t="s">
        <v>3</v>
      </c>
      <c r="I32" s="2" t="s">
        <v>61</v>
      </c>
      <c r="J32" s="2" t="s">
        <v>62</v>
      </c>
      <c r="K32" s="2" t="s">
        <v>63</v>
      </c>
      <c r="L32" s="2" t="s">
        <v>64</v>
      </c>
      <c r="M32" s="50" t="s">
        <v>65</v>
      </c>
      <c r="N32" s="51"/>
      <c r="O32" s="52" t="s">
        <v>66</v>
      </c>
      <c r="P32" s="4" t="s">
        <v>5</v>
      </c>
      <c r="Q32" s="4"/>
    </row>
    <row r="33" customFormat="false" ht="36.75" hidden="false" customHeight="true" outlineLevel="0" collapsed="false">
      <c r="A33" s="53" t="s">
        <v>6</v>
      </c>
      <c r="B33" s="53" t="s">
        <v>7</v>
      </c>
      <c r="C33" s="53" t="s">
        <v>67</v>
      </c>
      <c r="D33" s="53" t="s">
        <v>68</v>
      </c>
      <c r="E33" s="54" t="s">
        <v>10</v>
      </c>
      <c r="F33" s="2"/>
      <c r="G33" s="2"/>
      <c r="H33" s="6" t="s">
        <v>11</v>
      </c>
      <c r="I33" s="2"/>
      <c r="J33" s="2"/>
      <c r="K33" s="2"/>
      <c r="L33" s="2"/>
      <c r="M33" s="50"/>
      <c r="N33" s="55"/>
      <c r="O33" s="52"/>
      <c r="P33" s="56" t="s">
        <v>69</v>
      </c>
      <c r="Q33" s="7" t="s">
        <v>13</v>
      </c>
    </row>
    <row r="34" customFormat="false" ht="27.75" hidden="false" customHeight="true" outlineLevel="0" collapsed="false">
      <c r="A34" s="8" t="n">
        <v>21</v>
      </c>
      <c r="B34" s="8" t="n">
        <v>12</v>
      </c>
      <c r="C34" s="59" t="n">
        <v>46179</v>
      </c>
      <c r="D34" s="107" t="n">
        <v>333503</v>
      </c>
      <c r="E34" s="62" t="s">
        <v>43</v>
      </c>
      <c r="F34" s="10" t="s">
        <v>23</v>
      </c>
      <c r="G34" s="62" t="s">
        <v>27</v>
      </c>
      <c r="H34" s="108"/>
      <c r="I34" s="64" t="s">
        <v>84</v>
      </c>
      <c r="J34" s="65"/>
      <c r="K34" s="66" t="n">
        <v>8.951</v>
      </c>
      <c r="L34" s="66" t="n">
        <v>14.018</v>
      </c>
      <c r="M34" s="67" t="n">
        <v>0.46</v>
      </c>
      <c r="N34" s="68" t="s">
        <v>74</v>
      </c>
      <c r="O34" s="69"/>
      <c r="P34" s="70" t="s">
        <v>18</v>
      </c>
      <c r="Q34" s="75" t="n">
        <v>46209</v>
      </c>
      <c r="R34" s="0" t="n">
        <v>-7</v>
      </c>
      <c r="S34" s="0" t="n">
        <v>-7</v>
      </c>
      <c r="T34" s="0" t="n">
        <v>0</v>
      </c>
      <c r="U34" s="0" t="n">
        <v>0</v>
      </c>
      <c r="V34" s="71"/>
    </row>
    <row r="35" customFormat="false" ht="27.75" hidden="false" customHeight="true" outlineLevel="0" collapsed="false">
      <c r="A35" s="8" t="n">
        <v>22</v>
      </c>
      <c r="B35" s="8" t="n">
        <v>12</v>
      </c>
      <c r="C35" s="59" t="n">
        <v>46179</v>
      </c>
      <c r="D35" s="107" t="n">
        <v>326420</v>
      </c>
      <c r="E35" s="24" t="s">
        <v>43</v>
      </c>
      <c r="F35" s="8" t="s">
        <v>23</v>
      </c>
      <c r="G35" s="62" t="s">
        <v>16</v>
      </c>
      <c r="H35" s="108"/>
      <c r="I35" s="76" t="s">
        <v>139</v>
      </c>
      <c r="J35" s="65"/>
      <c r="K35" s="66" t="n">
        <v>8.994</v>
      </c>
      <c r="L35" s="66" t="n">
        <v>14.063</v>
      </c>
      <c r="M35" s="67" t="n">
        <v>0.63</v>
      </c>
      <c r="N35" s="68" t="s">
        <v>74</v>
      </c>
      <c r="O35" s="69"/>
      <c r="P35" s="75" t="s">
        <v>18</v>
      </c>
      <c r="Q35" s="75" t="n">
        <v>27767</v>
      </c>
      <c r="R35" s="0" t="n">
        <v>7</v>
      </c>
      <c r="S35" s="0" t="n">
        <v>10</v>
      </c>
      <c r="T35" s="0" t="n">
        <v>0</v>
      </c>
      <c r="U35" s="0" t="n">
        <v>0</v>
      </c>
      <c r="V35" s="71"/>
    </row>
    <row r="36" customFormat="false" ht="27.75" hidden="false" customHeight="true" outlineLevel="0" collapsed="false">
      <c r="A36" s="8" t="n">
        <f aca="false">A35+1</f>
        <v>23</v>
      </c>
      <c r="B36" s="8" t="n">
        <v>12</v>
      </c>
      <c r="C36" s="59" t="n">
        <v>46179</v>
      </c>
      <c r="D36" s="107" t="n">
        <v>30020</v>
      </c>
      <c r="E36" s="24" t="s">
        <v>43</v>
      </c>
      <c r="F36" s="8" t="s">
        <v>23</v>
      </c>
      <c r="G36" s="62" t="s">
        <v>16</v>
      </c>
      <c r="H36" s="108"/>
      <c r="I36" s="76" t="s">
        <v>116</v>
      </c>
      <c r="J36" s="65"/>
      <c r="K36" s="66" t="n">
        <v>8.945</v>
      </c>
      <c r="L36" s="66" t="n">
        <v>14.021</v>
      </c>
      <c r="M36" s="67" t="n">
        <v>0.19</v>
      </c>
      <c r="N36" s="68" t="s">
        <v>74</v>
      </c>
      <c r="O36" s="69"/>
      <c r="P36" s="75" t="s">
        <v>18</v>
      </c>
      <c r="Q36" s="75" t="n">
        <v>23399</v>
      </c>
      <c r="R36" s="0" t="n">
        <v>-5</v>
      </c>
      <c r="S36" s="0" t="n">
        <v>-4</v>
      </c>
      <c r="T36" s="0" t="n">
        <v>0</v>
      </c>
      <c r="U36" s="0" t="n">
        <v>0</v>
      </c>
      <c r="V36" s="71"/>
    </row>
    <row r="37" customFormat="false" ht="27.75" hidden="false" customHeight="true" outlineLevel="0" collapsed="false">
      <c r="A37" s="8" t="n">
        <f aca="false">A36+1</f>
        <v>24</v>
      </c>
      <c r="B37" s="8" t="n">
        <v>12</v>
      </c>
      <c r="C37" s="59" t="n">
        <v>46179</v>
      </c>
      <c r="D37" s="107" t="n">
        <v>704069</v>
      </c>
      <c r="E37" s="24" t="s">
        <v>43</v>
      </c>
      <c r="F37" s="8" t="s">
        <v>23</v>
      </c>
      <c r="G37" s="62" t="s">
        <v>27</v>
      </c>
      <c r="H37" s="108"/>
      <c r="I37" s="64" t="s">
        <v>140</v>
      </c>
      <c r="J37" s="65"/>
      <c r="K37" s="66" t="n">
        <v>8.945</v>
      </c>
      <c r="L37" s="66" t="n">
        <v>14.037</v>
      </c>
      <c r="M37" s="67" t="n">
        <v>0.55</v>
      </c>
      <c r="N37" s="74" t="s">
        <v>74</v>
      </c>
      <c r="O37" s="69" t="s">
        <v>141</v>
      </c>
      <c r="P37" s="70" t="s">
        <v>18</v>
      </c>
      <c r="Q37" s="75" t="n">
        <v>46189</v>
      </c>
      <c r="R37" s="0" t="n">
        <v>-5</v>
      </c>
      <c r="S37" s="0" t="n">
        <v>-5</v>
      </c>
      <c r="T37" s="0" t="n">
        <v>0</v>
      </c>
      <c r="U37" s="0" t="n">
        <v>0</v>
      </c>
      <c r="V37" s="71"/>
    </row>
    <row r="38" customFormat="false" ht="27.75" hidden="false" customHeight="true" outlineLevel="0" collapsed="false">
      <c r="A38" s="8" t="n">
        <f aca="false">A37+1</f>
        <v>25</v>
      </c>
      <c r="B38" s="8" t="n">
        <v>12</v>
      </c>
      <c r="C38" s="59" t="n">
        <v>46179</v>
      </c>
      <c r="D38" s="107" t="n">
        <v>50711</v>
      </c>
      <c r="E38" s="24" t="s">
        <v>43</v>
      </c>
      <c r="F38" s="8" t="s">
        <v>23</v>
      </c>
      <c r="G38" s="62" t="s">
        <v>16</v>
      </c>
      <c r="H38" s="108"/>
      <c r="I38" s="76" t="s">
        <v>142</v>
      </c>
      <c r="J38" s="65"/>
      <c r="K38" s="66" t="n">
        <v>8.951</v>
      </c>
      <c r="L38" s="66" t="n">
        <v>14.053</v>
      </c>
      <c r="M38" s="67" t="n">
        <v>0.51</v>
      </c>
      <c r="N38" s="68" t="s">
        <v>74</v>
      </c>
      <c r="O38" s="69"/>
      <c r="P38" s="75" t="s">
        <v>18</v>
      </c>
      <c r="Q38" s="75" t="n">
        <v>46992</v>
      </c>
      <c r="R38" s="0" t="n">
        <v>-1</v>
      </c>
      <c r="S38" s="0" t="n">
        <v>-1</v>
      </c>
      <c r="T38" s="0" t="n">
        <v>0</v>
      </c>
      <c r="U38" s="0" t="n">
        <v>0</v>
      </c>
      <c r="V38" s="71"/>
    </row>
    <row r="39" customFormat="false" ht="27.75" hidden="false" customHeight="true" outlineLevel="0" collapsed="false">
      <c r="A39" s="8" t="n">
        <f aca="false">A38+1</f>
        <v>26</v>
      </c>
      <c r="B39" s="8" t="n">
        <v>12</v>
      </c>
      <c r="C39" s="59" t="n">
        <v>46179</v>
      </c>
      <c r="D39" s="107" t="n">
        <v>21016</v>
      </c>
      <c r="E39" s="24" t="s">
        <v>43</v>
      </c>
      <c r="F39" s="8" t="s">
        <v>23</v>
      </c>
      <c r="G39" s="62" t="s">
        <v>16</v>
      </c>
      <c r="H39" s="108"/>
      <c r="I39" s="64" t="s">
        <v>143</v>
      </c>
      <c r="J39" s="65"/>
      <c r="K39" s="66" t="n">
        <v>8.928</v>
      </c>
      <c r="L39" s="66" t="n">
        <v>14.012</v>
      </c>
      <c r="M39" s="67" t="n">
        <v>0.55</v>
      </c>
      <c r="N39" s="68" t="s">
        <v>74</v>
      </c>
      <c r="O39" s="69" t="s">
        <v>144</v>
      </c>
      <c r="P39" s="75" t="s">
        <v>18</v>
      </c>
      <c r="Q39" s="75" t="n">
        <v>68038</v>
      </c>
      <c r="R39" s="0" t="n">
        <v>0</v>
      </c>
      <c r="S39" s="0" t="n">
        <v>1</v>
      </c>
      <c r="T39" s="0" t="n">
        <v>0</v>
      </c>
      <c r="U39" s="0" t="n">
        <v>0</v>
      </c>
      <c r="V39" s="71"/>
    </row>
    <row r="40" customFormat="false" ht="27.75" hidden="false" customHeight="true" outlineLevel="0" collapsed="false">
      <c r="A40" s="8" t="n">
        <f aca="false">A39+1</f>
        <v>27</v>
      </c>
      <c r="B40" s="8" t="n">
        <v>12</v>
      </c>
      <c r="C40" s="59" t="n">
        <v>46179</v>
      </c>
      <c r="D40" s="107" t="n">
        <v>711735</v>
      </c>
      <c r="E40" s="24" t="s">
        <v>43</v>
      </c>
      <c r="F40" s="8" t="s">
        <v>23</v>
      </c>
      <c r="G40" s="62" t="s">
        <v>16</v>
      </c>
      <c r="H40" s="108"/>
      <c r="I40" s="76" t="s">
        <v>145</v>
      </c>
      <c r="J40" s="65"/>
      <c r="K40" s="66" t="n">
        <v>8.945</v>
      </c>
      <c r="L40" s="66" t="n">
        <v>14.072</v>
      </c>
      <c r="M40" s="67" t="n">
        <v>0.4</v>
      </c>
      <c r="N40" s="68" t="s">
        <v>74</v>
      </c>
      <c r="O40" s="83"/>
      <c r="P40" s="75" t="s">
        <v>18</v>
      </c>
      <c r="Q40" s="75" t="n">
        <v>41420</v>
      </c>
      <c r="R40" s="0" t="n">
        <v>1</v>
      </c>
      <c r="S40" s="0" t="n">
        <v>2</v>
      </c>
      <c r="T40" s="0" t="n">
        <v>0</v>
      </c>
      <c r="U40" s="0" t="n">
        <v>0</v>
      </c>
      <c r="V40" s="71"/>
    </row>
    <row r="41" customFormat="false" ht="27.75" hidden="false" customHeight="true" outlineLevel="0" collapsed="false">
      <c r="A41" s="8" t="n">
        <f aca="false">A40+1</f>
        <v>28</v>
      </c>
      <c r="B41" s="8" t="n">
        <v>12</v>
      </c>
      <c r="C41" s="59" t="n">
        <v>46179</v>
      </c>
      <c r="D41" s="107" t="n">
        <v>8667</v>
      </c>
      <c r="E41" s="24" t="s">
        <v>146</v>
      </c>
      <c r="F41" s="8" t="s">
        <v>23</v>
      </c>
      <c r="G41" s="62" t="s">
        <v>27</v>
      </c>
      <c r="H41" s="108"/>
      <c r="I41" s="76" t="s">
        <v>147</v>
      </c>
      <c r="J41" s="65"/>
      <c r="K41" s="66" t="n">
        <v>8.951</v>
      </c>
      <c r="L41" s="66" t="n">
        <v>13.637</v>
      </c>
      <c r="M41" s="67" t="n">
        <v>0.56</v>
      </c>
      <c r="N41" s="68" t="s">
        <v>74</v>
      </c>
      <c r="O41" s="69" t="s">
        <v>148</v>
      </c>
      <c r="P41" s="70" t="s">
        <v>18</v>
      </c>
      <c r="Q41" s="70" t="n">
        <v>46122</v>
      </c>
      <c r="R41" s="0" t="n">
        <v>-1</v>
      </c>
      <c r="S41" s="0" t="n">
        <v>-1</v>
      </c>
      <c r="T41" s="0" t="n">
        <v>-1</v>
      </c>
      <c r="U41" s="0" t="n">
        <v>-1</v>
      </c>
      <c r="V41" s="71"/>
    </row>
    <row r="42" customFormat="false" ht="27.75" hidden="false" customHeight="true" outlineLevel="0" collapsed="false">
      <c r="A42" s="8" t="n">
        <f aca="false">A41+1</f>
        <v>29</v>
      </c>
      <c r="B42" s="8" t="n">
        <v>12</v>
      </c>
      <c r="C42" s="59" t="n">
        <v>46179</v>
      </c>
      <c r="D42" s="107" t="n">
        <v>311592</v>
      </c>
      <c r="E42" s="24" t="s">
        <v>146</v>
      </c>
      <c r="F42" s="8" t="s">
        <v>23</v>
      </c>
      <c r="G42" s="62" t="s">
        <v>16</v>
      </c>
      <c r="H42" s="108"/>
      <c r="I42" s="76" t="s">
        <v>149</v>
      </c>
      <c r="J42" s="65"/>
      <c r="K42" s="66" t="n">
        <v>8.969</v>
      </c>
      <c r="L42" s="66" t="n">
        <v>14.014</v>
      </c>
      <c r="M42" s="67" t="n">
        <v>0.3</v>
      </c>
      <c r="N42" s="68" t="s">
        <v>74</v>
      </c>
      <c r="O42" s="83"/>
      <c r="P42" s="75" t="n">
        <v>334206</v>
      </c>
      <c r="Q42" s="75" t="n">
        <v>27722</v>
      </c>
      <c r="R42" s="0" t="n">
        <v>-13</v>
      </c>
      <c r="S42" s="0" t="n">
        <v>-13</v>
      </c>
      <c r="T42" s="0" t="n">
        <v>0</v>
      </c>
      <c r="U42" s="0" t="n">
        <v>0</v>
      </c>
      <c r="V42" s="71"/>
    </row>
    <row r="43" customFormat="false" ht="27.75" hidden="false" customHeight="true" outlineLevel="0" collapsed="false">
      <c r="A43" s="8" t="n">
        <f aca="false">A42+1</f>
        <v>30</v>
      </c>
      <c r="B43" s="8" t="n">
        <v>12</v>
      </c>
      <c r="C43" s="59"/>
      <c r="D43" s="107"/>
      <c r="E43" s="62"/>
      <c r="F43" s="10"/>
      <c r="G43" s="62"/>
      <c r="H43" s="108"/>
      <c r="I43" s="64"/>
      <c r="J43" s="65"/>
      <c r="K43" s="66"/>
      <c r="L43" s="66"/>
      <c r="M43" s="109"/>
      <c r="N43" s="74"/>
      <c r="O43" s="69"/>
      <c r="P43" s="70"/>
      <c r="Q43" s="75"/>
      <c r="V43" s="71"/>
    </row>
    <row r="44" customFormat="false" ht="27.75" hidden="false" customHeight="true" outlineLevel="0" collapsed="false">
      <c r="A44" s="8" t="n">
        <f aca="false">A43+1</f>
        <v>31</v>
      </c>
      <c r="B44" s="8" t="n">
        <v>12</v>
      </c>
      <c r="C44" s="59"/>
      <c r="D44" s="107"/>
      <c r="E44" s="62"/>
      <c r="F44" s="10"/>
      <c r="G44" s="62"/>
      <c r="H44" s="108"/>
      <c r="I44" s="64"/>
      <c r="J44" s="65"/>
      <c r="K44" s="66"/>
      <c r="L44" s="66"/>
      <c r="M44" s="109"/>
      <c r="N44" s="74"/>
      <c r="O44" s="69"/>
      <c r="P44" s="70"/>
      <c r="Q44" s="75"/>
      <c r="V44" s="71"/>
    </row>
    <row r="45" customFormat="false" ht="27.75" hidden="false" customHeight="true" outlineLevel="0" collapsed="false">
      <c r="A45" s="8" t="n">
        <f aca="false">A44+1</f>
        <v>32</v>
      </c>
      <c r="B45" s="8" t="n">
        <v>12</v>
      </c>
      <c r="C45" s="59"/>
      <c r="D45" s="107"/>
      <c r="E45" s="61"/>
      <c r="F45" s="10"/>
      <c r="G45" s="62"/>
      <c r="H45" s="108"/>
      <c r="I45" s="64"/>
      <c r="J45" s="65"/>
      <c r="K45" s="66"/>
      <c r="L45" s="66"/>
      <c r="M45" s="109"/>
      <c r="N45" s="68"/>
      <c r="O45" s="69"/>
      <c r="P45" s="75"/>
      <c r="Q45" s="75"/>
      <c r="V45" s="71"/>
    </row>
    <row r="46" customFormat="false" ht="27.75" hidden="false" customHeight="true" outlineLevel="0" collapsed="false">
      <c r="A46" s="8" t="n">
        <f aca="false">A45+1</f>
        <v>33</v>
      </c>
      <c r="B46" s="8" t="n">
        <v>12</v>
      </c>
      <c r="C46" s="59"/>
      <c r="D46" s="107"/>
      <c r="E46" s="24"/>
      <c r="F46" s="8"/>
      <c r="G46" s="62"/>
      <c r="H46" s="108"/>
      <c r="I46" s="64"/>
      <c r="J46" s="65"/>
      <c r="K46" s="66"/>
      <c r="L46" s="66"/>
      <c r="M46" s="67"/>
      <c r="N46" s="68"/>
      <c r="O46" s="69"/>
      <c r="P46" s="75"/>
      <c r="Q46" s="75"/>
      <c r="V46" s="71"/>
    </row>
    <row r="47" customFormat="false" ht="27.75" hidden="false" customHeight="true" outlineLevel="0" collapsed="false">
      <c r="A47" s="8" t="n">
        <f aca="false">A46+1</f>
        <v>34</v>
      </c>
      <c r="B47" s="8" t="n">
        <v>12</v>
      </c>
      <c r="C47" s="59"/>
      <c r="D47" s="107"/>
      <c r="E47" s="24"/>
      <c r="F47" s="8"/>
      <c r="G47" s="62"/>
      <c r="H47" s="108"/>
      <c r="I47" s="64"/>
      <c r="J47" s="65"/>
      <c r="K47" s="66"/>
      <c r="L47" s="66"/>
      <c r="M47" s="67"/>
      <c r="N47" s="68"/>
      <c r="O47" s="69"/>
      <c r="P47" s="75"/>
      <c r="Q47" s="75"/>
      <c r="V47" s="71"/>
    </row>
    <row r="48" customFormat="false" ht="27.75" hidden="false" customHeight="true" outlineLevel="0" collapsed="false">
      <c r="A48" s="8" t="n">
        <f aca="false">A47+1</f>
        <v>35</v>
      </c>
      <c r="B48" s="8" t="n">
        <v>12</v>
      </c>
      <c r="C48" s="59"/>
      <c r="D48" s="107"/>
      <c r="E48" s="24"/>
      <c r="F48" s="8"/>
      <c r="G48" s="62"/>
      <c r="H48" s="108"/>
      <c r="I48" s="76"/>
      <c r="J48" s="65"/>
      <c r="K48" s="66"/>
      <c r="L48" s="66"/>
      <c r="M48" s="109"/>
      <c r="N48" s="68"/>
      <c r="O48" s="83"/>
      <c r="P48" s="75"/>
      <c r="Q48" s="75"/>
      <c r="V48" s="71"/>
    </row>
    <row r="49" customFormat="false" ht="27.75" hidden="false" customHeight="true" outlineLevel="0" collapsed="false">
      <c r="A49" s="8" t="n">
        <f aca="false">A48+1</f>
        <v>36</v>
      </c>
      <c r="B49" s="8" t="n">
        <v>12</v>
      </c>
      <c r="C49" s="59"/>
      <c r="D49" s="107"/>
      <c r="E49" s="24"/>
      <c r="F49" s="8"/>
      <c r="G49" s="62"/>
      <c r="H49" s="108"/>
      <c r="I49" s="76"/>
      <c r="J49" s="65"/>
      <c r="K49" s="66"/>
      <c r="L49" s="66"/>
      <c r="M49" s="67"/>
      <c r="N49" s="68"/>
      <c r="O49" s="83"/>
      <c r="P49" s="75"/>
      <c r="Q49" s="75"/>
      <c r="V49" s="71"/>
    </row>
    <row r="50" customFormat="false" ht="27.75" hidden="false" customHeight="true" outlineLevel="0" collapsed="false">
      <c r="A50" s="8" t="n">
        <f aca="false">A49+1</f>
        <v>37</v>
      </c>
      <c r="B50" s="8" t="n">
        <v>12</v>
      </c>
      <c r="C50" s="59"/>
      <c r="D50" s="107"/>
      <c r="E50" s="24"/>
      <c r="F50" s="8"/>
      <c r="G50" s="62"/>
      <c r="H50" s="108"/>
      <c r="I50" s="76"/>
      <c r="J50" s="65"/>
      <c r="K50" s="66"/>
      <c r="L50" s="66"/>
      <c r="M50" s="67"/>
      <c r="N50" s="68"/>
      <c r="O50" s="83"/>
      <c r="P50" s="75"/>
      <c r="Q50" s="75"/>
      <c r="V50" s="71"/>
    </row>
    <row r="51" customFormat="false" ht="27.75" hidden="false" customHeight="true" outlineLevel="0" collapsed="false">
      <c r="A51" s="8" t="n">
        <f aca="false">A50+1</f>
        <v>38</v>
      </c>
      <c r="B51" s="8" t="n">
        <v>12</v>
      </c>
      <c r="C51" s="59"/>
      <c r="D51" s="107"/>
      <c r="E51" s="110"/>
      <c r="F51" s="8"/>
      <c r="G51" s="62"/>
      <c r="H51" s="108"/>
      <c r="I51" s="76"/>
      <c r="J51" s="65"/>
      <c r="K51" s="66"/>
      <c r="L51" s="66"/>
      <c r="M51" s="109"/>
      <c r="N51" s="74"/>
      <c r="O51" s="83"/>
      <c r="P51" s="70"/>
      <c r="Q51" s="75"/>
      <c r="V51" s="71"/>
    </row>
    <row r="52" customFormat="false" ht="27.75" hidden="false" customHeight="true" outlineLevel="0" collapsed="false">
      <c r="A52" s="8" t="n">
        <f aca="false">A51+1</f>
        <v>39</v>
      </c>
      <c r="B52" s="8" t="n">
        <v>12</v>
      </c>
      <c r="C52" s="59"/>
      <c r="D52" s="107"/>
      <c r="E52" s="110"/>
      <c r="F52" s="8"/>
      <c r="G52" s="62"/>
      <c r="H52" s="108"/>
      <c r="I52" s="76"/>
      <c r="J52" s="65"/>
      <c r="K52" s="66"/>
      <c r="L52" s="66"/>
      <c r="M52" s="109"/>
      <c r="N52" s="68"/>
      <c r="O52" s="83"/>
      <c r="P52" s="75"/>
      <c r="Q52" s="75"/>
      <c r="V52" s="71"/>
    </row>
    <row r="53" customFormat="false" ht="27.75" hidden="false" customHeight="true" outlineLevel="0" collapsed="false">
      <c r="A53" s="8" t="n">
        <f aca="false">A52+1</f>
        <v>40</v>
      </c>
      <c r="B53" s="8" t="n">
        <v>12</v>
      </c>
      <c r="C53" s="59"/>
      <c r="D53" s="107"/>
      <c r="E53" s="24"/>
      <c r="F53" s="8"/>
      <c r="G53" s="62"/>
      <c r="H53" s="108"/>
      <c r="I53" s="76"/>
      <c r="J53" s="65"/>
      <c r="K53" s="66"/>
      <c r="L53" s="66"/>
      <c r="M53" s="67"/>
      <c r="N53" s="68"/>
      <c r="O53" s="83"/>
      <c r="P53" s="75"/>
      <c r="Q53" s="75"/>
      <c r="V53" s="71"/>
    </row>
    <row r="54" customFormat="false" ht="27.75" hidden="false" customHeight="true" outlineLevel="0" collapsed="false">
      <c r="A54" s="111"/>
      <c r="B54" s="112"/>
      <c r="C54" s="59"/>
      <c r="D54" s="107"/>
      <c r="E54" s="24"/>
      <c r="F54" s="8"/>
      <c r="G54" s="24"/>
      <c r="H54" s="108"/>
      <c r="I54" s="76"/>
      <c r="J54" s="65"/>
      <c r="K54" s="66"/>
      <c r="L54" s="24"/>
      <c r="M54" s="109"/>
      <c r="N54" s="68"/>
      <c r="O54" s="83"/>
      <c r="P54" s="75"/>
      <c r="Q54" s="75"/>
      <c r="V54" s="71"/>
    </row>
    <row r="55" customFormat="false" ht="19.5" hidden="false" customHeight="true" outlineLevel="0" collapsed="false">
      <c r="A55" s="28" t="s">
        <v>129</v>
      </c>
      <c r="B55" s="86"/>
      <c r="C55" s="87"/>
      <c r="D55" s="42"/>
      <c r="E55" s="28"/>
      <c r="F55" s="88"/>
      <c r="G55" s="28"/>
      <c r="H55" s="89"/>
      <c r="I55" s="90" t="s">
        <v>150</v>
      </c>
      <c r="J55" s="90"/>
      <c r="K55" s="90"/>
      <c r="L55" s="90"/>
      <c r="M55" s="90"/>
      <c r="N55" s="90"/>
      <c r="O55" s="90"/>
      <c r="P55" s="90"/>
      <c r="Q55" s="90"/>
    </row>
    <row r="56" customFormat="false" ht="18.75" hidden="false" customHeight="true" outlineLevel="0" collapsed="false">
      <c r="A56" s="48" t="s">
        <v>131</v>
      </c>
      <c r="I56" s="90"/>
      <c r="J56" s="90"/>
      <c r="K56" s="90"/>
      <c r="L56" s="90"/>
      <c r="M56" s="90"/>
      <c r="N56" s="90"/>
      <c r="O56" s="90"/>
      <c r="P56" s="90"/>
      <c r="Q56" s="90"/>
    </row>
    <row r="57" customFormat="false" ht="18.75" hidden="false" customHeight="true" outlineLevel="0" collapsed="false">
      <c r="A57" s="31" t="s">
        <v>49</v>
      </c>
      <c r="B57" s="91"/>
      <c r="C57" s="33"/>
      <c r="D57" s="34"/>
      <c r="E57" s="34"/>
      <c r="F57" s="91"/>
      <c r="G57" s="32"/>
      <c r="H57" s="92"/>
      <c r="I57" s="32"/>
      <c r="J57" s="35"/>
      <c r="K57" s="31" t="s">
        <v>132</v>
      </c>
      <c r="L57" s="32"/>
      <c r="M57" s="91"/>
      <c r="N57" s="32"/>
      <c r="O57" s="33"/>
      <c r="P57" s="34"/>
      <c r="Q57" s="93"/>
    </row>
    <row r="58" customFormat="false" ht="12.75" hidden="false" customHeight="false" outlineLevel="0" collapsed="false">
      <c r="A58" s="37" t="s">
        <v>133</v>
      </c>
      <c r="B58" s="88"/>
      <c r="C58" s="38"/>
      <c r="D58" s="38"/>
      <c r="E58" s="38"/>
      <c r="F58" s="88"/>
      <c r="G58" s="28"/>
      <c r="H58" s="89"/>
      <c r="I58" s="28"/>
      <c r="J58" s="39"/>
      <c r="K58" s="37" t="s">
        <v>134</v>
      </c>
      <c r="L58" s="28"/>
      <c r="M58" s="88"/>
      <c r="N58" s="28"/>
      <c r="O58" s="38"/>
      <c r="P58" s="38"/>
      <c r="Q58" s="40"/>
    </row>
    <row r="59" customFormat="false" ht="12.75" hidden="false" customHeight="false" outlineLevel="0" collapsed="false">
      <c r="A59" s="41" t="s">
        <v>53</v>
      </c>
      <c r="B59" s="88"/>
      <c r="C59" s="38"/>
      <c r="D59" s="38"/>
      <c r="E59" s="38"/>
      <c r="F59" s="88"/>
      <c r="G59" s="28"/>
      <c r="H59" s="89"/>
      <c r="I59" s="28"/>
      <c r="J59" s="39"/>
      <c r="K59" s="37" t="s">
        <v>54</v>
      </c>
      <c r="L59" s="28"/>
      <c r="M59" s="88"/>
      <c r="N59" s="28"/>
      <c r="O59" s="38"/>
      <c r="P59" s="38"/>
      <c r="Q59" s="40"/>
    </row>
    <row r="60" customFormat="false" ht="12.75" hidden="false" customHeight="false" outlineLevel="0" collapsed="false">
      <c r="A60" s="41"/>
      <c r="B60" s="88"/>
      <c r="C60" s="38"/>
      <c r="D60" s="42"/>
      <c r="E60" s="38"/>
      <c r="F60" s="88"/>
      <c r="G60" s="43" t="s">
        <v>55</v>
      </c>
      <c r="H60" s="94"/>
      <c r="I60" s="28"/>
      <c r="J60" s="39"/>
      <c r="K60" s="41"/>
      <c r="L60" s="28"/>
      <c r="M60" s="88"/>
      <c r="N60" s="28"/>
      <c r="O60" s="38"/>
      <c r="P60" s="43" t="s">
        <v>55</v>
      </c>
      <c r="Q60" s="40"/>
    </row>
    <row r="61" customFormat="false" ht="12" hidden="false" customHeight="true" outlineLevel="0" collapsed="false">
      <c r="A61" s="95"/>
      <c r="B61" s="88"/>
      <c r="C61" s="88"/>
      <c r="D61" s="42"/>
      <c r="E61" s="28"/>
      <c r="F61" s="88"/>
      <c r="G61" s="28"/>
      <c r="H61" s="89"/>
      <c r="I61" s="28"/>
      <c r="J61" s="39"/>
      <c r="K61" s="41"/>
      <c r="L61" s="28"/>
      <c r="M61" s="88"/>
      <c r="N61" s="28"/>
      <c r="O61" s="38"/>
      <c r="P61" s="38"/>
      <c r="Q61" s="40"/>
    </row>
    <row r="62" customFormat="false" ht="26.25" hidden="false" customHeight="true" outlineLevel="0" collapsed="false">
      <c r="A62" s="96"/>
      <c r="B62" s="97"/>
      <c r="C62" s="97"/>
      <c r="D62" s="98"/>
      <c r="E62" s="99"/>
      <c r="F62" s="97" t="s">
        <v>135</v>
      </c>
      <c r="G62" s="100" t="s">
        <v>136</v>
      </c>
      <c r="H62" s="101"/>
      <c r="I62" s="99"/>
      <c r="J62" s="102"/>
      <c r="K62" s="103"/>
      <c r="L62" s="99"/>
      <c r="M62" s="97"/>
      <c r="N62" s="99"/>
      <c r="O62" s="104" t="s">
        <v>137</v>
      </c>
      <c r="P62" s="105" t="s">
        <v>151</v>
      </c>
      <c r="Q62" s="113"/>
    </row>
    <row r="63" customFormat="false" ht="27.75" hidden="false" customHeight="true" outlineLevel="0" collapsed="false">
      <c r="A63" s="1" t="s">
        <v>152</v>
      </c>
      <c r="B63" s="1"/>
      <c r="C63" s="1"/>
      <c r="D63" s="1"/>
      <c r="E63" s="1"/>
      <c r="F63" s="2" t="s">
        <v>1</v>
      </c>
      <c r="G63" s="2" t="s">
        <v>60</v>
      </c>
      <c r="H63" s="3" t="s">
        <v>3</v>
      </c>
      <c r="I63" s="2" t="s">
        <v>61</v>
      </c>
      <c r="J63" s="2" t="s">
        <v>62</v>
      </c>
      <c r="K63" s="2" t="s">
        <v>63</v>
      </c>
      <c r="L63" s="2" t="s">
        <v>64</v>
      </c>
      <c r="M63" s="50" t="s">
        <v>65</v>
      </c>
      <c r="N63" s="51"/>
      <c r="O63" s="52" t="s">
        <v>66</v>
      </c>
      <c r="P63" s="4" t="s">
        <v>5</v>
      </c>
      <c r="Q63" s="4"/>
    </row>
    <row r="64" customFormat="false" ht="36.75" hidden="false" customHeight="true" outlineLevel="0" collapsed="false">
      <c r="A64" s="53" t="s">
        <v>6</v>
      </c>
      <c r="B64" s="53" t="s">
        <v>7</v>
      </c>
      <c r="C64" s="53" t="s">
        <v>67</v>
      </c>
      <c r="D64" s="53" t="s">
        <v>68</v>
      </c>
      <c r="E64" s="54" t="s">
        <v>10</v>
      </c>
      <c r="F64" s="2"/>
      <c r="G64" s="2"/>
      <c r="H64" s="6" t="s">
        <v>11</v>
      </c>
      <c r="I64" s="2"/>
      <c r="J64" s="2"/>
      <c r="K64" s="2"/>
      <c r="L64" s="2"/>
      <c r="M64" s="50"/>
      <c r="N64" s="55"/>
      <c r="O64" s="52"/>
      <c r="P64" s="56" t="s">
        <v>69</v>
      </c>
      <c r="Q64" s="7" t="s">
        <v>13</v>
      </c>
    </row>
    <row r="65" customFormat="false" ht="27.75" hidden="false" customHeight="true" outlineLevel="0" collapsed="false">
      <c r="A65" s="8" t="n">
        <v>41</v>
      </c>
      <c r="B65" s="8" t="n">
        <v>12</v>
      </c>
      <c r="C65" s="59"/>
      <c r="D65" s="107"/>
      <c r="E65" s="24"/>
      <c r="F65" s="8"/>
      <c r="G65" s="24"/>
      <c r="H65" s="108"/>
      <c r="I65" s="76"/>
      <c r="J65" s="65"/>
      <c r="K65" s="66"/>
      <c r="L65" s="66"/>
      <c r="M65" s="109"/>
      <c r="N65" s="68"/>
      <c r="O65" s="83"/>
      <c r="P65" s="75"/>
      <c r="Q65" s="75"/>
      <c r="V65" s="71"/>
    </row>
    <row r="66" customFormat="false" ht="27.75" hidden="false" customHeight="true" outlineLevel="0" collapsed="false">
      <c r="A66" s="8" t="n">
        <v>42</v>
      </c>
      <c r="B66" s="8" t="n">
        <v>12</v>
      </c>
      <c r="C66" s="59"/>
      <c r="D66" s="107"/>
      <c r="E66" s="24"/>
      <c r="F66" s="8"/>
      <c r="G66" s="24"/>
      <c r="H66" s="108"/>
      <c r="I66" s="76"/>
      <c r="J66" s="65"/>
      <c r="K66" s="66"/>
      <c r="L66" s="66"/>
      <c r="M66" s="109"/>
      <c r="N66" s="68"/>
      <c r="O66" s="83"/>
      <c r="P66" s="75"/>
      <c r="Q66" s="75"/>
      <c r="V66" s="71"/>
    </row>
    <row r="67" customFormat="false" ht="27.75" hidden="false" customHeight="true" outlineLevel="0" collapsed="false">
      <c r="A67" s="8" t="n">
        <f aca="false">A66+1</f>
        <v>43</v>
      </c>
      <c r="B67" s="8" t="n">
        <v>12</v>
      </c>
      <c r="C67" s="59"/>
      <c r="D67" s="107"/>
      <c r="E67" s="24"/>
      <c r="F67" s="8"/>
      <c r="G67" s="24"/>
      <c r="H67" s="108"/>
      <c r="I67" s="76"/>
      <c r="J67" s="65"/>
      <c r="K67" s="66"/>
      <c r="L67" s="66"/>
      <c r="M67" s="109"/>
      <c r="N67" s="68"/>
      <c r="O67" s="83"/>
      <c r="P67" s="75"/>
      <c r="Q67" s="75"/>
      <c r="V67" s="71"/>
    </row>
    <row r="68" customFormat="false" ht="27.75" hidden="false" customHeight="true" outlineLevel="0" collapsed="false">
      <c r="A68" s="8" t="n">
        <f aca="false">A67+1</f>
        <v>44</v>
      </c>
      <c r="B68" s="8" t="n">
        <v>12</v>
      </c>
      <c r="C68" s="59"/>
      <c r="D68" s="107"/>
      <c r="E68" s="24"/>
      <c r="F68" s="8"/>
      <c r="G68" s="24"/>
      <c r="H68" s="108"/>
      <c r="I68" s="76"/>
      <c r="J68" s="65"/>
      <c r="K68" s="66"/>
      <c r="L68" s="66"/>
      <c r="M68" s="67"/>
      <c r="N68" s="68"/>
      <c r="O68" s="83"/>
      <c r="P68" s="75"/>
      <c r="Q68" s="75"/>
      <c r="V68" s="71"/>
    </row>
    <row r="69" customFormat="false" ht="27.75" hidden="false" customHeight="true" outlineLevel="0" collapsed="false">
      <c r="A69" s="8" t="n">
        <f aca="false">A68+1</f>
        <v>45</v>
      </c>
      <c r="B69" s="8" t="n">
        <v>12</v>
      </c>
      <c r="C69" s="59"/>
      <c r="D69" s="107"/>
      <c r="E69" s="24"/>
      <c r="F69" s="8"/>
      <c r="G69" s="24"/>
      <c r="H69" s="108"/>
      <c r="I69" s="76"/>
      <c r="J69" s="65"/>
      <c r="K69" s="66"/>
      <c r="L69" s="66"/>
      <c r="M69" s="67"/>
      <c r="N69" s="114"/>
      <c r="O69" s="83"/>
      <c r="P69" s="70"/>
      <c r="Q69" s="75"/>
      <c r="V69" s="71"/>
    </row>
    <row r="70" customFormat="false" ht="27.75" hidden="false" customHeight="true" outlineLevel="0" collapsed="false">
      <c r="A70" s="8" t="n">
        <f aca="false">A69+1</f>
        <v>46</v>
      </c>
      <c r="B70" s="8" t="n">
        <v>12</v>
      </c>
      <c r="C70" s="59"/>
      <c r="D70" s="107"/>
      <c r="E70" s="24"/>
      <c r="F70" s="8"/>
      <c r="G70" s="24"/>
      <c r="H70" s="108"/>
      <c r="I70" s="76"/>
      <c r="J70" s="65"/>
      <c r="K70" s="66"/>
      <c r="L70" s="24"/>
      <c r="M70" s="109"/>
      <c r="N70" s="68"/>
      <c r="O70" s="83"/>
      <c r="P70" s="75"/>
      <c r="Q70" s="75"/>
      <c r="V70" s="71"/>
    </row>
    <row r="71" customFormat="false" ht="27.75" hidden="false" customHeight="true" outlineLevel="0" collapsed="false">
      <c r="A71" s="8" t="n">
        <f aca="false">A70+1</f>
        <v>47</v>
      </c>
      <c r="B71" s="8" t="n">
        <v>12</v>
      </c>
      <c r="C71" s="59"/>
      <c r="D71" s="107"/>
      <c r="E71" s="24"/>
      <c r="F71" s="8"/>
      <c r="G71" s="24"/>
      <c r="H71" s="108"/>
      <c r="I71" s="76"/>
      <c r="J71" s="65"/>
      <c r="K71" s="66"/>
      <c r="L71" s="24"/>
      <c r="M71" s="109"/>
      <c r="N71" s="68"/>
      <c r="O71" s="83"/>
      <c r="P71" s="75"/>
      <c r="Q71" s="75"/>
      <c r="V71" s="71"/>
    </row>
    <row r="72" customFormat="false" ht="27.75" hidden="false" customHeight="true" outlineLevel="0" collapsed="false">
      <c r="A72" s="8" t="n">
        <f aca="false">A71+1</f>
        <v>48</v>
      </c>
      <c r="B72" s="8" t="n">
        <v>12</v>
      </c>
      <c r="C72" s="59"/>
      <c r="D72" s="107"/>
      <c r="E72" s="24"/>
      <c r="F72" s="8"/>
      <c r="G72" s="24"/>
      <c r="H72" s="108"/>
      <c r="I72" s="76"/>
      <c r="J72" s="65"/>
      <c r="K72" s="66"/>
      <c r="L72" s="24"/>
      <c r="M72" s="109"/>
      <c r="N72" s="68"/>
      <c r="O72" s="83"/>
      <c r="P72" s="75"/>
      <c r="Q72" s="75"/>
      <c r="V72" s="71"/>
    </row>
    <row r="73" customFormat="false" ht="27.75" hidden="false" customHeight="true" outlineLevel="0" collapsed="false">
      <c r="A73" s="8" t="n">
        <f aca="false">A72+1</f>
        <v>49</v>
      </c>
      <c r="B73" s="8" t="n">
        <v>12</v>
      </c>
      <c r="C73" s="59"/>
      <c r="D73" s="107"/>
      <c r="E73" s="24"/>
      <c r="F73" s="8"/>
      <c r="G73" s="24"/>
      <c r="H73" s="108"/>
      <c r="I73" s="76"/>
      <c r="J73" s="65"/>
      <c r="K73" s="66"/>
      <c r="L73" s="24"/>
      <c r="M73" s="109"/>
      <c r="N73" s="68"/>
      <c r="O73" s="83"/>
      <c r="P73" s="75"/>
      <c r="Q73" s="75"/>
      <c r="V73" s="71"/>
    </row>
    <row r="74" customFormat="false" ht="27.75" hidden="false" customHeight="true" outlineLevel="0" collapsed="false">
      <c r="A74" s="8" t="n">
        <f aca="false">A73+1</f>
        <v>50</v>
      </c>
      <c r="B74" s="8" t="n">
        <v>12</v>
      </c>
      <c r="C74" s="59"/>
      <c r="D74" s="107"/>
      <c r="E74" s="24"/>
      <c r="F74" s="8"/>
      <c r="G74" s="24"/>
      <c r="H74" s="108"/>
      <c r="I74" s="76"/>
      <c r="J74" s="65"/>
      <c r="K74" s="66"/>
      <c r="L74" s="24"/>
      <c r="M74" s="109"/>
      <c r="N74" s="68"/>
      <c r="O74" s="83"/>
      <c r="P74" s="75"/>
      <c r="Q74" s="75"/>
      <c r="V74" s="71"/>
    </row>
    <row r="75" customFormat="false" ht="27.75" hidden="false" customHeight="true" outlineLevel="0" collapsed="false">
      <c r="A75" s="8" t="n">
        <f aca="false">A74+1</f>
        <v>51</v>
      </c>
      <c r="B75" s="8" t="n">
        <v>12</v>
      </c>
      <c r="C75" s="59"/>
      <c r="D75" s="107"/>
      <c r="E75" s="24"/>
      <c r="F75" s="8"/>
      <c r="G75" s="24"/>
      <c r="H75" s="108"/>
      <c r="I75" s="76"/>
      <c r="J75" s="65"/>
      <c r="K75" s="66"/>
      <c r="L75" s="24"/>
      <c r="M75" s="109"/>
      <c r="N75" s="68"/>
      <c r="O75" s="83"/>
      <c r="P75" s="75"/>
      <c r="Q75" s="75"/>
      <c r="V75" s="71"/>
    </row>
    <row r="76" customFormat="false" ht="27.75" hidden="false" customHeight="true" outlineLevel="0" collapsed="false">
      <c r="A76" s="8" t="n">
        <f aca="false">A75+1</f>
        <v>52</v>
      </c>
      <c r="B76" s="8" t="n">
        <v>12</v>
      </c>
      <c r="C76" s="59"/>
      <c r="D76" s="107"/>
      <c r="E76" s="24"/>
      <c r="F76" s="8"/>
      <c r="G76" s="24"/>
      <c r="H76" s="108"/>
      <c r="I76" s="76"/>
      <c r="J76" s="65"/>
      <c r="K76" s="66"/>
      <c r="L76" s="24"/>
      <c r="M76" s="109"/>
      <c r="N76" s="68"/>
      <c r="O76" s="83"/>
      <c r="P76" s="75"/>
      <c r="Q76" s="75"/>
      <c r="V76" s="71"/>
    </row>
    <row r="77" customFormat="false" ht="27.75" hidden="false" customHeight="true" outlineLevel="0" collapsed="false">
      <c r="A77" s="8" t="n">
        <f aca="false">A76+1</f>
        <v>53</v>
      </c>
      <c r="B77" s="8" t="n">
        <v>12</v>
      </c>
      <c r="C77" s="59"/>
      <c r="D77" s="107"/>
      <c r="E77" s="24"/>
      <c r="F77" s="8"/>
      <c r="G77" s="24"/>
      <c r="H77" s="108"/>
      <c r="I77" s="76"/>
      <c r="J77" s="65"/>
      <c r="K77" s="66"/>
      <c r="L77" s="24"/>
      <c r="M77" s="109"/>
      <c r="N77" s="68"/>
      <c r="O77" s="83"/>
      <c r="P77" s="75"/>
      <c r="Q77" s="75"/>
      <c r="V77" s="71"/>
    </row>
    <row r="78" customFormat="false" ht="27.75" hidden="false" customHeight="true" outlineLevel="0" collapsed="false">
      <c r="A78" s="8" t="n">
        <f aca="false">A77+1</f>
        <v>54</v>
      </c>
      <c r="B78" s="8" t="n">
        <v>12</v>
      </c>
      <c r="C78" s="59"/>
      <c r="D78" s="107"/>
      <c r="E78" s="24"/>
      <c r="F78" s="8"/>
      <c r="G78" s="24"/>
      <c r="H78" s="108"/>
      <c r="I78" s="76"/>
      <c r="J78" s="65"/>
      <c r="K78" s="66"/>
      <c r="L78" s="24"/>
      <c r="M78" s="109"/>
      <c r="N78" s="68"/>
      <c r="O78" s="83"/>
      <c r="P78" s="75"/>
      <c r="Q78" s="75"/>
      <c r="V78" s="71"/>
    </row>
    <row r="79" customFormat="false" ht="27.75" hidden="false" customHeight="true" outlineLevel="0" collapsed="false">
      <c r="A79" s="8" t="n">
        <f aca="false">A78+1</f>
        <v>55</v>
      </c>
      <c r="B79" s="8" t="n">
        <v>12</v>
      </c>
      <c r="C79" s="59"/>
      <c r="D79" s="107"/>
      <c r="E79" s="24"/>
      <c r="F79" s="8"/>
      <c r="G79" s="24"/>
      <c r="H79" s="108"/>
      <c r="I79" s="76"/>
      <c r="J79" s="65"/>
      <c r="K79" s="66"/>
      <c r="L79" s="24"/>
      <c r="M79" s="109"/>
      <c r="N79" s="68"/>
      <c r="O79" s="83"/>
      <c r="P79" s="75"/>
      <c r="Q79" s="75"/>
      <c r="V79" s="71"/>
    </row>
    <row r="80" customFormat="false" ht="27.75" hidden="false" customHeight="true" outlineLevel="0" collapsed="false">
      <c r="A80" s="8" t="n">
        <f aca="false">A79+1</f>
        <v>56</v>
      </c>
      <c r="B80" s="8" t="n">
        <v>12</v>
      </c>
      <c r="C80" s="59"/>
      <c r="D80" s="107"/>
      <c r="E80" s="24"/>
      <c r="F80" s="8"/>
      <c r="G80" s="24"/>
      <c r="H80" s="108"/>
      <c r="I80" s="76"/>
      <c r="J80" s="65"/>
      <c r="K80" s="66"/>
      <c r="L80" s="24"/>
      <c r="M80" s="109"/>
      <c r="N80" s="68"/>
      <c r="O80" s="83"/>
      <c r="P80" s="75"/>
      <c r="Q80" s="75"/>
      <c r="V80" s="71"/>
    </row>
    <row r="81" customFormat="false" ht="27.75" hidden="false" customHeight="true" outlineLevel="0" collapsed="false">
      <c r="A81" s="8" t="n">
        <f aca="false">A80+1</f>
        <v>57</v>
      </c>
      <c r="B81" s="8" t="n">
        <v>12</v>
      </c>
      <c r="C81" s="59"/>
      <c r="D81" s="107"/>
      <c r="E81" s="24"/>
      <c r="F81" s="8"/>
      <c r="G81" s="24"/>
      <c r="H81" s="108"/>
      <c r="I81" s="76"/>
      <c r="J81" s="65"/>
      <c r="K81" s="66"/>
      <c r="L81" s="24"/>
      <c r="M81" s="109"/>
      <c r="N81" s="68"/>
      <c r="O81" s="83"/>
      <c r="P81" s="75"/>
      <c r="Q81" s="75"/>
      <c r="V81" s="71"/>
    </row>
    <row r="82" customFormat="false" ht="27.75" hidden="false" customHeight="true" outlineLevel="0" collapsed="false">
      <c r="A82" s="8" t="n">
        <f aca="false">A81+1</f>
        <v>58</v>
      </c>
      <c r="B82" s="8" t="n">
        <v>12</v>
      </c>
      <c r="C82" s="59"/>
      <c r="D82" s="107"/>
      <c r="E82" s="24"/>
      <c r="F82" s="8"/>
      <c r="G82" s="24"/>
      <c r="H82" s="108"/>
      <c r="I82" s="76"/>
      <c r="J82" s="65"/>
      <c r="K82" s="66"/>
      <c r="L82" s="24"/>
      <c r="M82" s="109"/>
      <c r="N82" s="68"/>
      <c r="O82" s="83"/>
      <c r="P82" s="75"/>
      <c r="Q82" s="75"/>
      <c r="V82" s="71"/>
    </row>
    <row r="83" customFormat="false" ht="27.75" hidden="false" customHeight="true" outlineLevel="0" collapsed="false">
      <c r="A83" s="8" t="n">
        <f aca="false">A82+1</f>
        <v>59</v>
      </c>
      <c r="B83" s="8" t="n">
        <v>12</v>
      </c>
      <c r="C83" s="59"/>
      <c r="D83" s="107"/>
      <c r="E83" s="24"/>
      <c r="F83" s="8"/>
      <c r="G83" s="24"/>
      <c r="H83" s="108"/>
      <c r="I83" s="76"/>
      <c r="J83" s="65"/>
      <c r="K83" s="66"/>
      <c r="L83" s="24"/>
      <c r="M83" s="109"/>
      <c r="N83" s="68"/>
      <c r="O83" s="83"/>
      <c r="P83" s="75"/>
      <c r="Q83" s="75"/>
      <c r="V83" s="71"/>
    </row>
    <row r="84" customFormat="false" ht="27.75" hidden="false" customHeight="true" outlineLevel="0" collapsed="false">
      <c r="A84" s="8" t="n">
        <f aca="false">A83+1</f>
        <v>60</v>
      </c>
      <c r="B84" s="8" t="n">
        <v>12</v>
      </c>
      <c r="C84" s="59"/>
      <c r="D84" s="107"/>
      <c r="E84" s="24"/>
      <c r="F84" s="8"/>
      <c r="G84" s="24"/>
      <c r="H84" s="108"/>
      <c r="I84" s="76"/>
      <c r="J84" s="65"/>
      <c r="K84" s="66"/>
      <c r="L84" s="24"/>
      <c r="M84" s="109"/>
      <c r="N84" s="68"/>
      <c r="O84" s="83"/>
      <c r="P84" s="75"/>
      <c r="Q84" s="75"/>
      <c r="V84" s="71"/>
    </row>
    <row r="85" customFormat="false" ht="27.75" hidden="false" customHeight="true" outlineLevel="0" collapsed="false">
      <c r="A85" s="111"/>
      <c r="B85" s="112"/>
      <c r="C85" s="59"/>
      <c r="D85" s="107"/>
      <c r="E85" s="24"/>
      <c r="F85" s="8"/>
      <c r="G85" s="24"/>
      <c r="H85" s="108"/>
      <c r="I85" s="76"/>
      <c r="J85" s="65"/>
      <c r="K85" s="66"/>
      <c r="L85" s="24"/>
      <c r="M85" s="109"/>
      <c r="N85" s="68"/>
      <c r="O85" s="83"/>
      <c r="P85" s="75"/>
      <c r="Q85" s="75"/>
      <c r="V85" s="71"/>
    </row>
    <row r="86" customFormat="false" ht="19.5" hidden="false" customHeight="true" outlineLevel="0" collapsed="false">
      <c r="A86" s="28" t="s">
        <v>129</v>
      </c>
      <c r="B86" s="86"/>
      <c r="C86" s="87"/>
      <c r="D86" s="42"/>
      <c r="E86" s="28"/>
      <c r="F86" s="88"/>
      <c r="G86" s="28"/>
      <c r="H86" s="89"/>
      <c r="I86" s="90" t="s">
        <v>153</v>
      </c>
      <c r="J86" s="90"/>
      <c r="K86" s="90"/>
      <c r="L86" s="90"/>
      <c r="M86" s="90"/>
      <c r="N86" s="90"/>
      <c r="O86" s="90"/>
      <c r="P86" s="90"/>
      <c r="Q86" s="90"/>
    </row>
    <row r="87" customFormat="false" ht="18.75" hidden="false" customHeight="true" outlineLevel="0" collapsed="false">
      <c r="A87" s="48" t="s">
        <v>131</v>
      </c>
      <c r="I87" s="90"/>
      <c r="J87" s="90"/>
      <c r="K87" s="90"/>
      <c r="L87" s="90"/>
      <c r="M87" s="90"/>
      <c r="N87" s="90"/>
      <c r="O87" s="90"/>
      <c r="P87" s="90"/>
      <c r="Q87" s="90"/>
    </row>
    <row r="88" customFormat="false" ht="18.75" hidden="false" customHeight="true" outlineLevel="0" collapsed="false">
      <c r="A88" s="31" t="s">
        <v>49</v>
      </c>
      <c r="B88" s="91"/>
      <c r="C88" s="33"/>
      <c r="D88" s="34"/>
      <c r="E88" s="34"/>
      <c r="F88" s="91"/>
      <c r="G88" s="32"/>
      <c r="H88" s="92"/>
      <c r="I88" s="32"/>
      <c r="J88" s="35"/>
      <c r="K88" s="31" t="s">
        <v>154</v>
      </c>
      <c r="L88" s="32"/>
      <c r="M88" s="91"/>
      <c r="N88" s="32"/>
      <c r="O88" s="33"/>
      <c r="P88" s="34"/>
      <c r="Q88" s="93"/>
    </row>
    <row r="89" customFormat="false" ht="12.75" hidden="false" customHeight="false" outlineLevel="0" collapsed="false">
      <c r="A89" s="37" t="s">
        <v>133</v>
      </c>
      <c r="B89" s="88"/>
      <c r="C89" s="38"/>
      <c r="D89" s="38"/>
      <c r="E89" s="38"/>
      <c r="F89" s="88"/>
      <c r="G89" s="28"/>
      <c r="H89" s="89"/>
      <c r="I89" s="28"/>
      <c r="J89" s="39"/>
      <c r="K89" s="37" t="s">
        <v>134</v>
      </c>
      <c r="L89" s="28"/>
      <c r="M89" s="88"/>
      <c r="N89" s="28"/>
      <c r="O89" s="38"/>
      <c r="P89" s="38"/>
      <c r="Q89" s="40"/>
    </row>
    <row r="90" customFormat="false" ht="12.75" hidden="false" customHeight="false" outlineLevel="0" collapsed="false">
      <c r="A90" s="41" t="s">
        <v>53</v>
      </c>
      <c r="B90" s="88"/>
      <c r="C90" s="38"/>
      <c r="D90" s="38"/>
      <c r="E90" s="38"/>
      <c r="F90" s="88"/>
      <c r="G90" s="28"/>
      <c r="H90" s="89"/>
      <c r="I90" s="28"/>
      <c r="J90" s="39"/>
      <c r="K90" s="37" t="s">
        <v>54</v>
      </c>
      <c r="L90" s="28"/>
      <c r="M90" s="88"/>
      <c r="N90" s="28"/>
      <c r="O90" s="38"/>
      <c r="P90" s="38"/>
      <c r="Q90" s="40"/>
    </row>
    <row r="91" customFormat="false" ht="12.75" hidden="false" customHeight="false" outlineLevel="0" collapsed="false">
      <c r="A91" s="41"/>
      <c r="B91" s="88"/>
      <c r="C91" s="38"/>
      <c r="D91" s="42"/>
      <c r="E91" s="38"/>
      <c r="F91" s="88"/>
      <c r="G91" s="43" t="s">
        <v>55</v>
      </c>
      <c r="H91" s="94"/>
      <c r="I91" s="28"/>
      <c r="J91" s="39"/>
      <c r="K91" s="41"/>
      <c r="L91" s="28"/>
      <c r="M91" s="88"/>
      <c r="N91" s="28"/>
      <c r="O91" s="38"/>
      <c r="P91" s="43" t="s">
        <v>55</v>
      </c>
      <c r="Q91" s="40"/>
    </row>
    <row r="92" customFormat="false" ht="12" hidden="false" customHeight="true" outlineLevel="0" collapsed="false">
      <c r="A92" s="95"/>
      <c r="B92" s="88"/>
      <c r="C92" s="88"/>
      <c r="D92" s="42"/>
      <c r="E92" s="28"/>
      <c r="F92" s="88"/>
      <c r="G92" s="28"/>
      <c r="H92" s="89"/>
      <c r="I92" s="28"/>
      <c r="J92" s="39"/>
      <c r="K92" s="41"/>
      <c r="L92" s="28"/>
      <c r="M92" s="88"/>
      <c r="N92" s="28"/>
      <c r="O92" s="38"/>
      <c r="P92" s="38"/>
      <c r="Q92" s="40"/>
    </row>
    <row r="93" customFormat="false" ht="26.25" hidden="false" customHeight="true" outlineLevel="0" collapsed="false">
      <c r="A93" s="96"/>
      <c r="B93" s="97"/>
      <c r="C93" s="97"/>
      <c r="D93" s="98"/>
      <c r="E93" s="99"/>
      <c r="F93" s="97" t="s">
        <v>135</v>
      </c>
      <c r="G93" s="100" t="s">
        <v>136</v>
      </c>
      <c r="H93" s="101"/>
      <c r="I93" s="99"/>
      <c r="J93" s="102"/>
      <c r="K93" s="103"/>
      <c r="L93" s="99"/>
      <c r="M93" s="97"/>
      <c r="N93" s="99"/>
      <c r="O93" s="104" t="s">
        <v>137</v>
      </c>
      <c r="P93" s="105" t="s">
        <v>151</v>
      </c>
      <c r="Q93" s="113"/>
    </row>
  </sheetData>
  <mergeCells count="33">
    <mergeCell ref="A1:E1"/>
    <mergeCell ref="F1:F2"/>
    <mergeCell ref="G1:G2"/>
    <mergeCell ref="I1:I2"/>
    <mergeCell ref="J1:J2"/>
    <mergeCell ref="K1:K2"/>
    <mergeCell ref="L1:L2"/>
    <mergeCell ref="M1:M2"/>
    <mergeCell ref="O1:O2"/>
    <mergeCell ref="P1:Q1"/>
    <mergeCell ref="I24:Q25"/>
    <mergeCell ref="A32:E32"/>
    <mergeCell ref="F32:F33"/>
    <mergeCell ref="G32:G33"/>
    <mergeCell ref="I32:I33"/>
    <mergeCell ref="J32:J33"/>
    <mergeCell ref="K32:K33"/>
    <mergeCell ref="L32:L33"/>
    <mergeCell ref="M32:M33"/>
    <mergeCell ref="O32:O33"/>
    <mergeCell ref="P32:Q32"/>
    <mergeCell ref="I55:Q56"/>
    <mergeCell ref="A63:E63"/>
    <mergeCell ref="F63:F64"/>
    <mergeCell ref="G63:G64"/>
    <mergeCell ref="I63:I64"/>
    <mergeCell ref="J63:J64"/>
    <mergeCell ref="K63:K64"/>
    <mergeCell ref="L63:L64"/>
    <mergeCell ref="M63:M64"/>
    <mergeCell ref="O63:O64"/>
    <mergeCell ref="P63:Q63"/>
    <mergeCell ref="I86:Q87"/>
  </mergeCells>
  <conditionalFormatting sqref="B34:B53 B3:B23 D34:H42 D44:H54 D3:H23">
    <cfRule type="cellIs" priority="2" operator="equal" aboveAverage="0" equalAverage="0" bottom="0" percent="0" rank="0" text="" dxfId="5">
      <formula>0</formula>
    </cfRule>
  </conditionalFormatting>
  <conditionalFormatting sqref="O34:O54 O3:O23">
    <cfRule type="cellIs" priority="3" operator="equal" aboveAverage="0" equalAverage="0" bottom="0" percent="0" rank="0" text="" dxfId="6">
      <formula>0</formula>
    </cfRule>
  </conditionalFormatting>
  <conditionalFormatting sqref="D65:H85">
    <cfRule type="cellIs" priority="4" operator="equal" aboveAverage="0" equalAverage="0" bottom="0" percent="0" rank="0" text="" dxfId="7">
      <formula>0</formula>
    </cfRule>
  </conditionalFormatting>
  <conditionalFormatting sqref="O65:O85">
    <cfRule type="cellIs" priority="5" operator="equal" aboveAverage="0" equalAverage="0" bottom="0" percent="0" rank="0" text="" dxfId="8">
      <formula>0</formula>
    </cfRule>
  </conditionalFormatting>
  <conditionalFormatting sqref="B65:B84">
    <cfRule type="cellIs" priority="6" operator="equal" aboveAverage="0" equalAverage="0" bottom="0" percent="0" rank="0" text="" dxfId="9">
      <formula>0</formula>
    </cfRule>
  </conditionalFormatting>
  <conditionalFormatting sqref="D43:H43">
    <cfRule type="cellIs" priority="7" operator="equal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true" showInputMessage="false" sqref="AD2:AD6" type="list">
      <formula1>$AD$2:$AD$6</formula1>
      <formula2>0</formula2>
    </dataValidation>
    <dataValidation allowBlank="true" errorStyle="stop" operator="between" showDropDown="false" showErrorMessage="true" showInputMessage="false" sqref="N23" type="list">
      <formula1>$AD$2:$AD$7</formula1>
      <formula2>0</formula2>
    </dataValidation>
    <dataValidation allowBlank="true" errorStyle="stop" operator="between" showDropDown="false" showErrorMessage="true" showInputMessage="false" sqref="N3:N22 N34:N54 N65:N85" type="list">
      <formula1>$AD$2:$AD$10</formula1>
      <formula2>0</formula2>
    </dataValidation>
  </dataValidations>
  <printOptions headings="false" gridLines="false" gridLinesSet="true" horizontalCentered="true" verticalCentered="false"/>
  <pageMargins left="0" right="0" top="0.590277777777778" bottom="0.39375" header="0.118055555555556" footer="0.118055555555556"/>
  <pageSetup paperSize="9" scale="65" fitToWidth="1" fitToHeight="1" pageOrder="downThenOver" orientation="landscape" blackAndWhite="false" draft="false" cellComments="none" horizontalDpi="300" verticalDpi="300" copies="1"/>
  <headerFooter differentFirst="false" differentOddEven="false">
    <oddHeader>&amp;LITS Controlli Tecnici S.p.A.&amp;C&amp;11Modulo Consegna Prove EA -Lab &amp;R&amp;F </oddHeader>
    <oddFooter>&amp;C&amp;D&amp;R&amp;P di &amp;N</oddFooter>
  </headerFooter>
  <rowBreaks count="1" manualBreakCount="1">
    <brk id="31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2005-12-27T17:00:10Z</dcterms:created>
  <dc:creator>maccionew</dc:creator>
  <dc:description/>
  <dc:language>en-US</dc:language>
  <cp:lastModifiedBy>Alessandro Di Roberto</cp:lastModifiedBy>
  <cp:lastPrinted>2025-11-11T14:45:07Z</cp:lastPrinted>
  <dcterms:modified xsi:type="dcterms:W3CDTF">2026-06-07T17:47:57Z</dcterms:modified>
  <cp:revision>0</cp:revision>
  <dc:subject/>
  <dc:title/>
</cp:coreProperties>
</file>